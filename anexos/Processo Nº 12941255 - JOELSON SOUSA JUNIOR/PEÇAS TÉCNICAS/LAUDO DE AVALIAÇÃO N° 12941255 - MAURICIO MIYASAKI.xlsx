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defaultThemeVersion="124226"/>
  <mc:AlternateContent xmlns:mc="http://schemas.openxmlformats.org/markup-compatibility/2006">
    <mc:Choice Requires="x15">
      <x15ac:absPath xmlns:x15ac="http://schemas.microsoft.com/office/spreadsheetml/2010/11/ac" url="H:\1. AVALIAÇÕES\01. AVALIAÇÕES SICREDI\01. RURAL\07. JULHO\Processo Nº 12941255 - JOELSON SOUSA JUNIOR\PEÇAS TÉCNICAS\"/>
    </mc:Choice>
  </mc:AlternateContent>
  <bookViews>
    <workbookView xWindow="0" yWindow="0" windowWidth="20490" windowHeight="6930" tabRatio="874" activeTab="8"/>
  </bookViews>
  <sheets>
    <sheet name="CAPA DO LAUDO" sheetId="1" r:id="rId1"/>
    <sheet name="FATORES" sheetId="2" r:id="rId2"/>
    <sheet name="UTIL_LAUDO" sheetId="13" r:id="rId3"/>
    <sheet name="AREA UTIL " sheetId="3" r:id="rId4"/>
    <sheet name="AMOSTRAS" sheetId="4" r:id="rId5"/>
    <sheet name="QUADRO" sheetId="5" r:id="rId6"/>
    <sheet name="PLANILHA HOMOG" sheetId="6" r:id="rId7"/>
    <sheet name="SANEAMENTO" sheetId="7" r:id="rId8"/>
    <sheet name="LIQUIDAÇÃO" sheetId="8" r:id="rId9"/>
    <sheet name="LAUDO DE AVALIAÇÃO" sheetId="9" r:id="rId10"/>
    <sheet name="LAUDO DE AVALIAÇÃO 12-12.4" sheetId="10" state="hidden" r:id="rId11"/>
    <sheet name="LAUDO DE AVALIAÇÃO 13" sheetId="11" state="hidden" r:id="rId12"/>
    <sheet name="quadro_resumo" sheetId="12" r:id="rId13"/>
  </sheets>
  <definedNames>
    <definedName name="Print_Area" localSheetId="10">'LAUDO DE AVALIAÇÃO 12-12.4'!$B$1:$H$24</definedName>
    <definedName name="Print_Area" localSheetId="11">'LAUDO DE AVALIAÇÃO 13'!$B$1:$G$8</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1" i="3" l="1"/>
  <c r="H18" i="3"/>
  <c r="F21" i="3"/>
  <c r="F14" i="4"/>
  <c r="E14" i="4"/>
  <c r="E12" i="4"/>
  <c r="F18" i="3"/>
  <c r="F20" i="3"/>
  <c r="H20" i="3"/>
  <c r="F11" i="4"/>
  <c r="I8" i="6"/>
  <c r="J8" i="6" s="1"/>
  <c r="C4" i="3"/>
  <c r="C4" i="7" s="1"/>
  <c r="C5" i="8" s="1"/>
  <c r="K8" i="6"/>
  <c r="K9" i="6"/>
  <c r="I9" i="6"/>
  <c r="J9" i="6" s="1"/>
  <c r="E13" i="4"/>
  <c r="H23" i="10"/>
  <c r="H18" i="10"/>
  <c r="H19" i="10" s="1"/>
  <c r="W27" i="9" s="1"/>
  <c r="H13" i="10"/>
  <c r="H14" i="10" s="1"/>
  <c r="W26" i="9" s="1"/>
  <c r="H9" i="10"/>
  <c r="W25" i="9" s="1"/>
  <c r="W30" i="9" s="1"/>
  <c r="H8" i="10"/>
  <c r="W29" i="9"/>
  <c r="W28" i="9"/>
  <c r="R16" i="9"/>
  <c r="W23" i="9" s="1"/>
  <c r="I16" i="9"/>
  <c r="F16" i="8"/>
  <c r="F9" i="8"/>
  <c r="F28" i="7"/>
  <c r="F17" i="8" s="1"/>
  <c r="F18" i="8" s="1"/>
  <c r="F27" i="7"/>
  <c r="F12" i="7"/>
  <c r="A14" i="6"/>
  <c r="B10" i="6"/>
  <c r="O9" i="6"/>
  <c r="N9" i="6"/>
  <c r="M9" i="6"/>
  <c r="L9" i="6"/>
  <c r="D9" i="6"/>
  <c r="B9" i="6"/>
  <c r="O8" i="6"/>
  <c r="N8" i="6"/>
  <c r="M8" i="6"/>
  <c r="L8" i="6"/>
  <c r="D8" i="6"/>
  <c r="B8" i="6"/>
  <c r="O7" i="6"/>
  <c r="N7" i="6"/>
  <c r="M7" i="6"/>
  <c r="K7" i="6"/>
  <c r="L7" i="6" s="1"/>
  <c r="I7" i="6"/>
  <c r="J7" i="6" s="1"/>
  <c r="E7" i="6"/>
  <c r="D7" i="6"/>
  <c r="B7" i="6"/>
  <c r="O6" i="6"/>
  <c r="N6" i="6"/>
  <c r="M6" i="6"/>
  <c r="K6" i="6"/>
  <c r="L6" i="6" s="1"/>
  <c r="J6" i="6"/>
  <c r="I6" i="6"/>
  <c r="E6" i="6"/>
  <c r="D6" i="6"/>
  <c r="F6" i="6" s="1"/>
  <c r="B6" i="6"/>
  <c r="O5" i="6"/>
  <c r="N5" i="6"/>
  <c r="M5" i="6"/>
  <c r="K5" i="6"/>
  <c r="L5" i="6" s="1"/>
  <c r="J5" i="6"/>
  <c r="I5" i="6"/>
  <c r="E5" i="6"/>
  <c r="D5" i="6"/>
  <c r="B5" i="6"/>
  <c r="O4" i="6"/>
  <c r="N4" i="6"/>
  <c r="M4" i="6"/>
  <c r="K4" i="6"/>
  <c r="L4" i="6" s="1"/>
  <c r="J4" i="6"/>
  <c r="I4" i="6"/>
  <c r="B4" i="6"/>
  <c r="K9" i="5"/>
  <c r="D9" i="5"/>
  <c r="L8" i="5"/>
  <c r="K8" i="5"/>
  <c r="D8" i="5"/>
  <c r="L7" i="5"/>
  <c r="K7" i="5"/>
  <c r="D7" i="5"/>
  <c r="E7" i="5" s="1"/>
  <c r="C7" i="5"/>
  <c r="L6" i="5"/>
  <c r="K6" i="5"/>
  <c r="D6" i="5"/>
  <c r="C6" i="5"/>
  <c r="L5" i="5"/>
  <c r="K5" i="5"/>
  <c r="D5" i="5"/>
  <c r="C5" i="5"/>
  <c r="L4" i="5"/>
  <c r="K4" i="5"/>
  <c r="G112" i="4"/>
  <c r="F112" i="4"/>
  <c r="E112" i="4"/>
  <c r="K99" i="4"/>
  <c r="H91" i="4"/>
  <c r="E89" i="4"/>
  <c r="E97" i="4" s="1"/>
  <c r="F97" i="4" s="1"/>
  <c r="H87" i="4"/>
  <c r="L9" i="5" s="1"/>
  <c r="E81" i="4"/>
  <c r="H77" i="4"/>
  <c r="E75" i="4"/>
  <c r="E83" i="4" s="1"/>
  <c r="E69" i="4"/>
  <c r="F69" i="4" s="1"/>
  <c r="F68" i="4"/>
  <c r="F67" i="4"/>
  <c r="H63" i="4"/>
  <c r="H62" i="4"/>
  <c r="K62" i="4" s="1"/>
  <c r="E55" i="4"/>
  <c r="E54" i="4" s="1"/>
  <c r="F53" i="4"/>
  <c r="H49" i="4"/>
  <c r="H48" i="4"/>
  <c r="K48" i="4" s="1"/>
  <c r="E41" i="4"/>
  <c r="E40" i="4" s="1"/>
  <c r="F39" i="4"/>
  <c r="H35" i="4"/>
  <c r="K34" i="4"/>
  <c r="H34" i="4"/>
  <c r="E25" i="4"/>
  <c r="H21" i="4"/>
  <c r="E20" i="4"/>
  <c r="D4" i="6" s="1"/>
  <c r="E19" i="4"/>
  <c r="F13" i="4"/>
  <c r="H7" i="4"/>
  <c r="N6" i="3"/>
  <c r="R6" i="3" s="1"/>
  <c r="C6" i="3"/>
  <c r="Q4" i="3"/>
  <c r="E6" i="5" l="1"/>
  <c r="F7" i="6"/>
  <c r="F25" i="4"/>
  <c r="H76" i="4"/>
  <c r="K77" i="4" s="1"/>
  <c r="G70" i="4"/>
  <c r="C8" i="5"/>
  <c r="E5" i="5"/>
  <c r="F81" i="4"/>
  <c r="F55" i="4"/>
  <c r="E8" i="5"/>
  <c r="F5" i="6"/>
  <c r="F70" i="4"/>
  <c r="E70" i="4"/>
  <c r="R7" i="3"/>
  <c r="F7" i="5"/>
  <c r="G7" i="6"/>
  <c r="F83" i="4"/>
  <c r="E82" i="4"/>
  <c r="F12" i="4"/>
  <c r="G14" i="4" s="1"/>
  <c r="F19" i="3"/>
  <c r="F40" i="4"/>
  <c r="E42" i="4"/>
  <c r="F54" i="4"/>
  <c r="E56" i="4"/>
  <c r="C9" i="5"/>
  <c r="E9" i="5" s="1"/>
  <c r="E8" i="6"/>
  <c r="F8" i="6" s="1"/>
  <c r="F33" i="7"/>
  <c r="E27" i="4"/>
  <c r="F27" i="4" s="1"/>
  <c r="F41" i="4"/>
  <c r="H90" i="4"/>
  <c r="K90" i="4" s="1"/>
  <c r="R18" i="9"/>
  <c r="H20" i="4"/>
  <c r="E9" i="6"/>
  <c r="F9" i="6" s="1"/>
  <c r="F95" i="4"/>
  <c r="C4" i="5"/>
  <c r="E96" i="4"/>
  <c r="D4" i="5"/>
  <c r="E4" i="6"/>
  <c r="F4" i="6" s="1"/>
  <c r="E4" i="5" l="1"/>
  <c r="G56" i="4"/>
  <c r="F6" i="5"/>
  <c r="G6" i="6"/>
  <c r="B10" i="9"/>
  <c r="F17" i="7"/>
  <c r="G10" i="6"/>
  <c r="H19" i="3"/>
  <c r="F82" i="4"/>
  <c r="E84" i="4"/>
  <c r="F56" i="4"/>
  <c r="F96" i="4"/>
  <c r="F98" i="4" s="1"/>
  <c r="E98" i="4"/>
  <c r="K20" i="4"/>
  <c r="M4" i="4"/>
  <c r="M5" i="4" s="1"/>
  <c r="E26" i="4"/>
  <c r="G42" i="4"/>
  <c r="F42" i="4"/>
  <c r="G98" i="4" l="1"/>
  <c r="G84" i="4"/>
  <c r="F84" i="4"/>
  <c r="H6" i="6"/>
  <c r="P6" i="6" s="1"/>
  <c r="Q6" i="6" s="1"/>
  <c r="H7" i="6"/>
  <c r="P7" i="6" s="1"/>
  <c r="Q7" i="6" s="1"/>
  <c r="F5" i="5"/>
  <c r="G5" i="6"/>
  <c r="H5" i="6" s="1"/>
  <c r="P5" i="6" s="1"/>
  <c r="Q5" i="6" s="1"/>
  <c r="G9" i="6"/>
  <c r="H9" i="6" s="1"/>
  <c r="P9" i="6" s="1"/>
  <c r="Q9" i="6" s="1"/>
  <c r="F9" i="5"/>
  <c r="F26" i="4"/>
  <c r="E28" i="4"/>
  <c r="G28" i="4" l="1"/>
  <c r="F28" i="4"/>
  <c r="F8" i="5"/>
  <c r="G8" i="6"/>
  <c r="H8" i="6" s="1"/>
  <c r="P8" i="6" s="1"/>
  <c r="Q8" i="6" s="1"/>
  <c r="F4" i="5" l="1"/>
  <c r="G4" i="6"/>
  <c r="H4" i="6" s="1"/>
  <c r="P4" i="6" s="1"/>
  <c r="Q4" i="6" s="1"/>
  <c r="Q12" i="6" l="1"/>
  <c r="Q13" i="6" l="1"/>
  <c r="Q15" i="6" s="1"/>
  <c r="F8" i="7" s="1"/>
  <c r="R8" i="6" l="1"/>
  <c r="R5" i="6"/>
  <c r="R4" i="6"/>
  <c r="R9" i="6"/>
  <c r="R6" i="6"/>
  <c r="R7" i="6"/>
  <c r="Q14" i="6"/>
  <c r="F7" i="7" s="1"/>
  <c r="Q19" i="6" l="1"/>
  <c r="Q17" i="6"/>
  <c r="P29" i="6" l="1"/>
  <c r="F18" i="7"/>
  <c r="F19" i="7" s="1"/>
  <c r="F20" i="7" s="1"/>
  <c r="F14" i="7"/>
  <c r="J14" i="7" s="1"/>
  <c r="W11" i="9"/>
  <c r="I10" i="9" s="1"/>
  <c r="R10" i="9" s="1"/>
  <c r="R12" i="9" s="1"/>
  <c r="W22" i="9" s="1"/>
  <c r="W24" i="9" s="1"/>
  <c r="W31" i="9" s="1"/>
  <c r="F6" i="7"/>
  <c r="Q20" i="6"/>
  <c r="Q22" i="6" s="1"/>
  <c r="Y34" i="9" l="1"/>
  <c r="Q34" i="9"/>
  <c r="Q21" i="6"/>
  <c r="Q23" i="6" s="1"/>
  <c r="F10" i="8"/>
  <c r="F11" i="8" s="1"/>
  <c r="F32" i="7"/>
  <c r="F34" i="7" s="1"/>
  <c r="F13" i="7" l="1"/>
  <c r="Q24" i="6"/>
  <c r="F11" i="7" s="1"/>
</calcChain>
</file>

<file path=xl/comments1.xml><?xml version="1.0" encoding="utf-8"?>
<comments xmlns="http://schemas.openxmlformats.org/spreadsheetml/2006/main">
  <authors>
    <author>valec</author>
  </authors>
  <commentList>
    <comment ref="P5" authorId="0" shapeId="0">
      <text>
        <r>
          <rPr>
            <sz val="10"/>
            <rFont val="Arial"/>
            <family val="2"/>
          </rPr>
          <t>valec:
SENHA DE PROTEÇÃO: 1234</t>
        </r>
      </text>
    </comment>
  </commentList>
</comments>
</file>

<file path=xl/comments2.xml><?xml version="1.0" encoding="utf-8"?>
<comments xmlns="http://schemas.openxmlformats.org/spreadsheetml/2006/main">
  <authors>
    <author>valec</author>
  </authors>
  <commentList>
    <comment ref="D5" authorId="0" shapeId="0">
      <text>
        <r>
          <rPr>
            <sz val="10"/>
            <rFont val="Arial"/>
            <family val="2"/>
          </rPr>
          <t>valec:
SENHA DE PROTEÇÃO: 1234</t>
        </r>
      </text>
    </comment>
  </commentList>
</comments>
</file>

<file path=xl/sharedStrings.xml><?xml version="1.0" encoding="utf-8"?>
<sst xmlns="http://schemas.openxmlformats.org/spreadsheetml/2006/main" count="616" uniqueCount="330">
  <si>
    <t>LAUDO DE AVALIAÇÃO Nº 435420</t>
  </si>
  <si>
    <t>Proponente:</t>
  </si>
  <si>
    <t>Processo:</t>
  </si>
  <si>
    <t>Agência Solicitante:</t>
  </si>
  <si>
    <t>Objetivo:</t>
  </si>
  <si>
    <t>Objeto:</t>
  </si>
  <si>
    <t>Local e Data:</t>
  </si>
  <si>
    <t>QUADRO RESUMO DA AVALIAÇÃO</t>
  </si>
  <si>
    <t>Identificação:</t>
  </si>
  <si>
    <t>Município:</t>
  </si>
  <si>
    <t>IMÓVEL</t>
  </si>
  <si>
    <t>Nº Matrícula</t>
  </si>
  <si>
    <t>Identificação</t>
  </si>
  <si>
    <t>Área Superficial há</t>
  </si>
  <si>
    <t>Área Construída m²</t>
  </si>
  <si>
    <t>CROQUI</t>
  </si>
  <si>
    <t>VALORES</t>
  </si>
  <si>
    <t>MATRÍCULA</t>
  </si>
  <si>
    <t>MERCADO R$</t>
  </si>
  <si>
    <t>LIQUIDAÇÃO FORÇADA R$</t>
  </si>
  <si>
    <t>TOTAL</t>
  </si>
  <si>
    <t>OBSERVAÇÕES</t>
  </si>
  <si>
    <t>HIDROGRAFIA</t>
  </si>
  <si>
    <t xml:space="preserve"> </t>
  </si>
  <si>
    <t>1,30 a 1,50 - (MUITO BOM)</t>
  </si>
  <si>
    <t>1,15 a 1,29 - (BOM)</t>
  </si>
  <si>
    <t>1,01 a 1,14 - (NORMAL)</t>
  </si>
  <si>
    <t>1,00 - (REGULAR)</t>
  </si>
  <si>
    <t>0,80 a 0,99 - (RUIM)</t>
  </si>
  <si>
    <t>0,50 a 0,79 - (MUITO RUIM)</t>
  </si>
  <si>
    <t>FONTE: DESLANDES, CRISTIANO AUGUSTO - AVALIAÇÃO DE IMÓVEIS RURAIS (2002).</t>
  </si>
  <si>
    <t>FONTE: GLOSSÁRIO INTERNACIONAL DE HIDROLOGIA (UNESCO).</t>
  </si>
  <si>
    <t>BENFEITORIAS</t>
  </si>
  <si>
    <t>Fatores</t>
  </si>
  <si>
    <t>MUITO ACIMA DA MÉDIA</t>
  </si>
  <si>
    <t>ACIMA DA MÉDIA</t>
  </si>
  <si>
    <t>MÉDIA</t>
  </si>
  <si>
    <t>ABAIXO DA MÉDIA</t>
  </si>
  <si>
    <t>MUITO ABAIXO DA MÉDIA</t>
  </si>
  <si>
    <t>SEM BENFEITORIA</t>
  </si>
  <si>
    <t>Situação</t>
  </si>
  <si>
    <t>CARACTERÍSTICA</t>
  </si>
  <si>
    <t>Tipo de Estrada</t>
  </si>
  <si>
    <t>Trafegabilidade</t>
  </si>
  <si>
    <t>Ótima</t>
  </si>
  <si>
    <t>Pavimentada com asfalto/concreto</t>
  </si>
  <si>
    <t>Permanente</t>
  </si>
  <si>
    <t>Muito Boa</t>
  </si>
  <si>
    <t>Pavimentada com cascalhamento/intertravado</t>
  </si>
  <si>
    <t>Boa</t>
  </si>
  <si>
    <t>Não Pavimentada</t>
  </si>
  <si>
    <t>Desfavorável</t>
  </si>
  <si>
    <t>Não Pavimentada e Servidões de Passagem</t>
  </si>
  <si>
    <t>Problemas sérios nas Estações chuvosas</t>
  </si>
  <si>
    <t>Má</t>
  </si>
  <si>
    <t>Servidões com a presença de fechos</t>
  </si>
  <si>
    <t>Péssima</t>
  </si>
  <si>
    <t>Fechos e interceptados por córregos sem pontes</t>
  </si>
  <si>
    <t>Problemas sérios mesmo nas secas</t>
  </si>
  <si>
    <t>APP</t>
  </si>
  <si>
    <t>ARL</t>
  </si>
  <si>
    <t>AREA TOTAL</t>
  </si>
  <si>
    <t>AREA DE RESERVA LEGAL</t>
  </si>
  <si>
    <t>AREA DE APP</t>
  </si>
  <si>
    <t>ÁREA CONSTRUÍDA</t>
  </si>
  <si>
    <t>AU</t>
  </si>
  <si>
    <t xml:space="preserve"> -</t>
  </si>
  <si>
    <t>-</t>
  </si>
  <si>
    <t>CERTIFICADO DE CADASTRO DE IMÓVEL RURAL - CCIR</t>
  </si>
  <si>
    <t>AR</t>
  </si>
  <si>
    <t>CLASSIFICAÇÃO FUNDIÁRIA</t>
  </si>
  <si>
    <t>MÓDULO FISCAL</t>
  </si>
  <si>
    <t>Nº DE MÓDULOS FISCAIS</t>
  </si>
  <si>
    <t>CADASTRO AMBIENTAL RURAL - CAR</t>
  </si>
  <si>
    <t>ÁREA CONSOLIDADA</t>
  </si>
  <si>
    <t>SITUAÇÃO</t>
  </si>
  <si>
    <t>Ativo</t>
  </si>
  <si>
    <t>CONDIÇÃO</t>
  </si>
  <si>
    <t>Aguardando Análise</t>
  </si>
  <si>
    <t>USO DA TERRA</t>
  </si>
  <si>
    <t>ÁREA (ha)</t>
  </si>
  <si>
    <t>% ÁREA</t>
  </si>
  <si>
    <t>Área De Reserva Legal e APP</t>
  </si>
  <si>
    <t>SOMATÓRIA</t>
  </si>
  <si>
    <t xml:space="preserve">AVALIANDA </t>
  </si>
  <si>
    <t>MÉDIA DAS AMOSTRAS</t>
  </si>
  <si>
    <t xml:space="preserve">Proprietário(s) </t>
  </si>
  <si>
    <t>Contato:</t>
  </si>
  <si>
    <t>R$/ ha =</t>
  </si>
  <si>
    <t>Localização do Imóvel:</t>
  </si>
  <si>
    <t>Guaraí - TO</t>
  </si>
  <si>
    <t>Situação:</t>
  </si>
  <si>
    <t>Alq =</t>
  </si>
  <si>
    <t>Área do Imóvel (ha):</t>
  </si>
  <si>
    <t>Benfeitoria:</t>
  </si>
  <si>
    <t>Média</t>
  </si>
  <si>
    <t>Hidrografia:</t>
  </si>
  <si>
    <t>Bom</t>
  </si>
  <si>
    <t>Data:</t>
  </si>
  <si>
    <t>Matrícula:</t>
  </si>
  <si>
    <t>Outros:</t>
  </si>
  <si>
    <t>Nota Agronômica da Amostra</t>
  </si>
  <si>
    <t>Classe de Solo</t>
  </si>
  <si>
    <t>Área (ha)</t>
  </si>
  <si>
    <t>% do Imóvel</t>
  </si>
  <si>
    <t>Nota Agronômica</t>
  </si>
  <si>
    <t>IV</t>
  </si>
  <si>
    <t>VIII</t>
  </si>
  <si>
    <t>Dado Amostral 01</t>
  </si>
  <si>
    <t>Proprietário / Informante:</t>
  </si>
  <si>
    <t>Aliança Imoveis</t>
  </si>
  <si>
    <t>(16) 3234-9000</t>
  </si>
  <si>
    <t>https://to.olx.com.br/tocantins/terrenos/fazenda-guarai-guarai-1351681214?lis=listing_1100</t>
  </si>
  <si>
    <t>Valor venal:</t>
  </si>
  <si>
    <t>Valor R$/ha:</t>
  </si>
  <si>
    <t>Negociação:</t>
  </si>
  <si>
    <t>Oferta</t>
  </si>
  <si>
    <t>VI</t>
  </si>
  <si>
    <t>Dado Amostral 02</t>
  </si>
  <si>
    <t>Ruraliza Negócios</t>
  </si>
  <si>
    <t>(63) 99252-2282</t>
  </si>
  <si>
    <t>https://to.olx.com.br/tocantins/terrenos/regiao-de-guarai-to-as-margens-da-rodovia-153-1336192281?lis=listing_1100</t>
  </si>
  <si>
    <t>Dado Amostral 03</t>
  </si>
  <si>
    <t>https://to.olx.com.br/tocantins/terrenos/imovel-para-venda-com-430-metros-quadrados-em-zona-rural-guarai-to-1328380034?lis=listing_1100</t>
  </si>
  <si>
    <t xml:space="preserve">Muito bom </t>
  </si>
  <si>
    <t>Dado Amostral 04</t>
  </si>
  <si>
    <t>Centro De Negócios Invistta Ltda Me</t>
  </si>
  <si>
    <t>(63) 3215-0568</t>
  </si>
  <si>
    <t>https://to.olx.com.br/tocantins/terrenos/fazenda-a-venda-setor-central-guarai-to-1319747655?lis=listing_1100</t>
  </si>
  <si>
    <t>Acima da Média</t>
  </si>
  <si>
    <t>V</t>
  </si>
  <si>
    <t>Dado Amostral 05</t>
  </si>
  <si>
    <t>Lider Imoveis</t>
  </si>
  <si>
    <t>(34) 3231-0019</t>
  </si>
  <si>
    <t>https://to.olx.com.br/tocantins/terrenos/fazenda-a-venda-na-regiao-de-presidente-kennedy-a-12-km-da-cidade-e-25-de-guarai-1315959269?lis=listing_1100</t>
  </si>
  <si>
    <t>Presidente Kennedy - TO</t>
  </si>
  <si>
    <t>Muito bom</t>
  </si>
  <si>
    <t>Dado Amostral 06</t>
  </si>
  <si>
    <t>https://to.olx.com.br/tocantins/terrenos/regiao-de-guarai-to-3-km-do-asfalto-com-possibilidade-de-permuta-1311042563?lis=listing_1100</t>
  </si>
  <si>
    <t>Dado Amostral 07</t>
  </si>
  <si>
    <t>ELEMENTO</t>
  </si>
  <si>
    <t>VT (R$)</t>
  </si>
  <si>
    <t>VT(R$/ha)</t>
  </si>
  <si>
    <t xml:space="preserve">CLASSE </t>
  </si>
  <si>
    <t>FONTE</t>
  </si>
  <si>
    <t>INFORMANTE</t>
  </si>
  <si>
    <t>CONTATO</t>
  </si>
  <si>
    <t>Elemento</t>
  </si>
  <si>
    <t>Municipio</t>
  </si>
  <si>
    <t>Imóvel</t>
  </si>
  <si>
    <t xml:space="preserve">Valor do Imóvel R$ </t>
  </si>
  <si>
    <t>Área Total Do Imóvel (ha)</t>
  </si>
  <si>
    <t>Valor por hectare (R$/ha)</t>
  </si>
  <si>
    <t>CCU do Elemento</t>
  </si>
  <si>
    <t>CCU Indexado 1</t>
  </si>
  <si>
    <t>Situação Elemento</t>
  </si>
  <si>
    <t>Situação Indexado²</t>
  </si>
  <si>
    <t>Benfeitorias</t>
  </si>
  <si>
    <t>Benfeitorias Indexado³</t>
  </si>
  <si>
    <t>Hidrografia Elemento</t>
  </si>
  <si>
    <t>Hidrografia Indexado 4</t>
  </si>
  <si>
    <t>Fator Oferta Elemento</t>
  </si>
  <si>
    <t>Fator Homogeneização Total (FHT) 6</t>
  </si>
  <si>
    <t>VT/ha homogeneizado 7</t>
  </si>
  <si>
    <t>Amostra Saneada</t>
  </si>
  <si>
    <t>Imóvel 1</t>
  </si>
  <si>
    <t>Imóvel 2</t>
  </si>
  <si>
    <t>Imóvel 3</t>
  </si>
  <si>
    <t>Imóvel 4</t>
  </si>
  <si>
    <t>Imóvel 5</t>
  </si>
  <si>
    <t>Imóvel 6</t>
  </si>
  <si>
    <t>Avaliando</t>
  </si>
  <si>
    <t>AVALIANDA</t>
  </si>
  <si>
    <t>CCU Indexado¹</t>
  </si>
  <si>
    <t>obtido da seguinte forma = (CCU imóvel Avaliando - CCU elmento da amostra) + 1</t>
  </si>
  <si>
    <t xml:space="preserve">Média </t>
  </si>
  <si>
    <t>Situação Indexado ²</t>
  </si>
  <si>
    <t>obtido da seguinte forma = (Situação imóvel Avaliando - Situação elmento da amostra) + 1</t>
  </si>
  <si>
    <t>Desvio Padrão</t>
  </si>
  <si>
    <t>obtido da seguinte forma = (Distância imóvel Avaliando - Distância elmento da amostra) + 1</t>
  </si>
  <si>
    <t>Limite Superior</t>
  </si>
  <si>
    <t>obtido da seguinte forma = (Hidrografia imóvel Avaliando - Hidrografia elmento da amostra) + 1</t>
  </si>
  <si>
    <t>Limite Inferior</t>
  </si>
  <si>
    <t xml:space="preserve">Obtido pela multiplicação do CCU Indexado, da Situação Indexado, Distância Indexado, Hidrografia Indexado e Fator Oferta </t>
  </si>
  <si>
    <t>Resultado da multiplicação do VT / ha do elementdo da amostra pelo seu FHT</t>
  </si>
  <si>
    <t>n =</t>
  </si>
  <si>
    <t>Média após Saneamento</t>
  </si>
  <si>
    <t>Limite superior de valor de VT/ha homogeneizado</t>
  </si>
  <si>
    <t>t =</t>
  </si>
  <si>
    <t>Limite Inferior de valor de VT/ha homogeneizado</t>
  </si>
  <si>
    <t>Desvio Padrão Saneado</t>
  </si>
  <si>
    <t>Elemento que apresente seu VT/ ha homogeneizado maior que o limite superior ou menor que o limite inferior</t>
  </si>
  <si>
    <t>Fator para I.C.</t>
  </si>
  <si>
    <t>Média de Valor calculado após eliminação dos elementos saneados</t>
  </si>
  <si>
    <t>I.C. Superior</t>
  </si>
  <si>
    <t>= t*(Desvio padrão saneado/ √ do numero de elementos utilizado), onde "t" é percentil da distribuição de Student, com grau de liberdade ( V = n-1) e 80% de confiança</t>
  </si>
  <si>
    <t>I.C. Inferior</t>
  </si>
  <si>
    <t>Média Saneada + Fator para I.C.</t>
  </si>
  <si>
    <t>Amplitude</t>
  </si>
  <si>
    <t>Média Saneada - Fator para I.C.</t>
  </si>
  <si>
    <t>Coeficiente de Variação %</t>
  </si>
  <si>
    <t>I.C. Superior - I.C. Inferior</t>
  </si>
  <si>
    <t>Coeficiente de Variação</t>
  </si>
  <si>
    <t>Amplitude / Média Saneada</t>
  </si>
  <si>
    <t>SANEAMENTO DAS AMOSTRAS</t>
  </si>
  <si>
    <t>Limite Superior (R$/ha)</t>
  </si>
  <si>
    <t>Limite Inferior (R$/ha)</t>
  </si>
  <si>
    <t>Elementos Saneados</t>
  </si>
  <si>
    <t>PREENCHER MANUAL</t>
  </si>
  <si>
    <t>Elementos Expurgados</t>
  </si>
  <si>
    <t xml:space="preserve">T. Student </t>
  </si>
  <si>
    <t xml:space="preserve">Valor médio apurado (R$/ha) </t>
  </si>
  <si>
    <t>VALOR DE TERRA NUA APURADO</t>
  </si>
  <si>
    <t>Área total do imóvel avaliando</t>
  </si>
  <si>
    <t>Valor do hectare (R$/ha)</t>
  </si>
  <si>
    <t>Valor total de terra nua</t>
  </si>
  <si>
    <t>Valor adotado</t>
  </si>
  <si>
    <t>VALOR DE BENFEITORIAS - PIVÔ CENTRAL + hidraulico</t>
  </si>
  <si>
    <t>Custo de de Formação (novo)</t>
  </si>
  <si>
    <t>Depreciação: Adequada/bom</t>
  </si>
  <si>
    <t>Valor depreciado</t>
  </si>
  <si>
    <t>VALOR TOTAL DE TERRA NUA + BENFEITORIAS</t>
  </si>
  <si>
    <t>Valor Total de Terra Nua</t>
  </si>
  <si>
    <t xml:space="preserve">Valor do Pivô </t>
  </si>
  <si>
    <t>Valor Total</t>
  </si>
  <si>
    <t>CÁLCULO DE VALOR DE LIQUIDAÇÃO FORÇADA</t>
  </si>
  <si>
    <t>i - Taxa de Desconto</t>
  </si>
  <si>
    <t>n - Número de meses</t>
  </si>
  <si>
    <t>Coeficiente Calculado</t>
  </si>
  <si>
    <t>Valor de Mercado</t>
  </si>
  <si>
    <t>Valor de Liquidação Forçada</t>
  </si>
  <si>
    <t xml:space="preserve">  LAUDO DE AVALIAÇÃO  </t>
  </si>
  <si>
    <t>014 - OBSERVAÇÕES DO AVALIADOR  CÁLCULO  DA TERRA NUA</t>
  </si>
  <si>
    <t>Avaliação Intervalar:</t>
  </si>
  <si>
    <t>Área avaliada (ha)</t>
  </si>
  <si>
    <t>x</t>
  </si>
  <si>
    <t xml:space="preserve">Valor homogeneizado / ha </t>
  </si>
  <si>
    <t xml:space="preserve">Estimativa de tendênia Central obtido </t>
  </si>
  <si>
    <t>=</t>
  </si>
  <si>
    <t>em planilha de Homogeneização.</t>
  </si>
  <si>
    <t>Outras áreas:</t>
  </si>
  <si>
    <t>Especificar Área (ha)</t>
  </si>
  <si>
    <t>015 - RESUMO DOS VALORES</t>
  </si>
  <si>
    <t>15.1 - ÁREA AVALIADA.................................................................................................................</t>
  </si>
  <si>
    <t>R$</t>
  </si>
  <si>
    <t>15.2 - OUTRAS ÁREAS - ESPECIFICAR...................................................................................................................................</t>
  </si>
  <si>
    <t>15.3 - SUB-TOTAL (01)...................................................................................................................................</t>
  </si>
  <si>
    <t>15.4 - QUADRO 12.1 - CULTURAS PERMANENTES.........................................................................................</t>
  </si>
  <si>
    <t>15.5 - QUADRO 12.2 - CULTURAS TEMPORÁRIAS............................................................................................................................</t>
  </si>
  <si>
    <t>15.6 - QUADRO 12.3 - PASTAGENS ARTIFICIAIS..................................................................................................................................</t>
  </si>
  <si>
    <t>15.7 - QUADRO 12.4 - EXTRATIVISMO..................................................................................................................................</t>
  </si>
  <si>
    <t>15.8 - QUADRO 13 - BENFEITORIAS NÃO REPRODUTIVAS..........................................................................................................</t>
  </si>
  <si>
    <t>15.9 - SUB-TOTAL (02)..................................................................................................................................</t>
  </si>
  <si>
    <t>15.10 - TOTAL (1+2)................................................................................................................................................................</t>
  </si>
  <si>
    <t>15.11 - MÊS BASE DA AVALIAÇÃO</t>
  </si>
  <si>
    <t>Limite Inferior (estimativa -10%)</t>
  </si>
  <si>
    <t>Limite Superior (estimativa +10%)</t>
  </si>
  <si>
    <t>12 - BENFEITORIAS REPRODUTIVAS</t>
  </si>
  <si>
    <t>12.1 - CULTURAS PERMANENTES</t>
  </si>
  <si>
    <t>DISCRIMINAÇÃO (A)</t>
  </si>
  <si>
    <t>IDADE (B)</t>
  </si>
  <si>
    <t>ESTADO FITOSSANITÁRIO (C)</t>
  </si>
  <si>
    <t>UNIDADE (E)</t>
  </si>
  <si>
    <t>QUANTIDADE (D)</t>
  </si>
  <si>
    <t>VALORES  EM  REAIS</t>
  </si>
  <si>
    <t>UNITÁRIO</t>
  </si>
  <si>
    <t>12.2 - CULTURAS TEMPORÁRIAS</t>
  </si>
  <si>
    <t>UNIDADE ©</t>
  </si>
  <si>
    <t xml:space="preserve">12.3 - PASTAGENS </t>
  </si>
  <si>
    <t>DEPRECIAÇÃO</t>
  </si>
  <si>
    <t>area de pastagem andropólgon</t>
  </si>
  <si>
    <t>12.4 - EXTRATIVISMO</t>
  </si>
  <si>
    <t>13 - BENFEITORIAS NÃO REPRODUTIVAS</t>
  </si>
  <si>
    <t>DISCRIMINAÇÃO</t>
  </si>
  <si>
    <t>UNID.</t>
  </si>
  <si>
    <t>DEPREC.</t>
  </si>
  <si>
    <t>QUANT.</t>
  </si>
  <si>
    <t>VALOR EM R$ REAIS</t>
  </si>
  <si>
    <t>Raimunda Laercia Dourado da Silva</t>
  </si>
  <si>
    <t>CPF: 577.518.031-34</t>
  </si>
  <si>
    <t>Proprietário:</t>
  </si>
  <si>
    <t>CPF:577.518.031-34</t>
  </si>
  <si>
    <t xml:space="preserve">Agencia: </t>
  </si>
  <si>
    <t xml:space="preserve">UA Guaraí (18) </t>
  </si>
  <si>
    <t>Fazenda Ypê</t>
  </si>
  <si>
    <t>Guaraí</t>
  </si>
  <si>
    <t>UF:  TO</t>
  </si>
  <si>
    <t>MAPA DA ÁREA</t>
  </si>
  <si>
    <t>IMOVEL</t>
  </si>
  <si>
    <t>Área há</t>
  </si>
  <si>
    <t>13157</t>
  </si>
  <si>
    <t>fazenda</t>
  </si>
  <si>
    <t>48.3293</t>
  </si>
  <si>
    <t>300</t>
  </si>
  <si>
    <t>Valor de mercado</t>
  </si>
  <si>
    <t>Liquidação forçada</t>
  </si>
  <si>
    <t>R$ 25.000.000,00</t>
  </si>
  <si>
    <t>R$ 65.000.000,00</t>
  </si>
  <si>
    <t>Mauricio Miyasaki</t>
  </si>
  <si>
    <t>(63) 999893050</t>
  </si>
  <si>
    <t>Abaixo da média</t>
  </si>
  <si>
    <t xml:space="preserve">Área de Vegetação Remanescente </t>
  </si>
  <si>
    <t>MATRÍCULA 11.173</t>
  </si>
  <si>
    <t>Pequena Propriedade</t>
  </si>
  <si>
    <t>Área de Pastagem</t>
  </si>
  <si>
    <t>ÍNDICES DE DEPRECIAÇÃO FÍSICA E FUNCIONAL</t>
  </si>
  <si>
    <t>Depreciação Física</t>
  </si>
  <si>
    <t>Depreciação Funcional</t>
  </si>
  <si>
    <t>Adequada</t>
  </si>
  <si>
    <t>Inadequada</t>
  </si>
  <si>
    <t>Superada</t>
  </si>
  <si>
    <t>Total</t>
  </si>
  <si>
    <t>Ótimo</t>
  </si>
  <si>
    <t>Regular</t>
  </si>
  <si>
    <t>Precária</t>
  </si>
  <si>
    <t>Mau</t>
  </si>
  <si>
    <t>Classe</t>
  </si>
  <si>
    <t>Características</t>
  </si>
  <si>
    <t>I</t>
  </si>
  <si>
    <t>Terras cultiváveis aparentemente sem problemas especiais de conservação.</t>
  </si>
  <si>
    <t>II</t>
  </si>
  <si>
    <t>Terras cultiváveis com problemas simples de conservação.</t>
  </si>
  <si>
    <t>III</t>
  </si>
  <si>
    <t>Terras cultiváveis com problemas complexos de conservação.</t>
  </si>
  <si>
    <t>Terras cultiváveis apenas ocasionalmente ou em extensão limitada, com sérios problemas de conservação.</t>
  </si>
  <si>
    <t>Terras cultiváveis apenas em casos de algumas culturas permanentes e adaptadas em geral para pastagens ou reflorestamento, encharcamento permanente, afloramento de rochas, sem necessidade de práticas especiais de conservação.</t>
  </si>
  <si>
    <t>Terras cultiváveis apenas em casos especiais de algumas culturas permanentes e adaptadas em geral para reflorestamento, com problemas simples de conservação.</t>
  </si>
  <si>
    <t>VII</t>
  </si>
  <si>
    <t>Terras cultiváveis apenas em casos especiais de algumas culturas permanentes e adaptadas em geral para pastagem ou reflorestamento, com problemas complexos de conservação.</t>
  </si>
  <si>
    <t>Terras impróprias para cultura, pastagem ou reflorestamento, devendo servir apenas como abrigo de fauna silvestre, como ambiente para recreação ou para fins de armazenamento de água. Áreas com qualquer tipo de restrição legal de uso ou exploração.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</si>
</sst>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2">
    <numFmt numFmtId="8" formatCode="&quot;R$&quot;\ #,##0.00;[Red]\-&quot;R$&quot;\ #,##0.00"/>
    <numFmt numFmtId="43" formatCode="_-* #,##0.00_-;\-* #,##0.00_-;_-* &quot;-&quot;??_-;_-@_-"/>
    <numFmt numFmtId="164" formatCode="_(* #,##0.000_);_(* \(#,##0.000\);_(* &quot;-&quot;??_);_(@_)"/>
    <numFmt numFmtId="165" formatCode="_(&quot;R$ &quot;* #,##0.00_);_(&quot;R$ &quot;* \(#,##0.00\);_(&quot;R$ &quot;* &quot;-&quot;??_);_(@_)"/>
    <numFmt numFmtId="166" formatCode="_(* #,##0.000_);_(* \(#,##0.000\);_(* &quot;-&quot;???_);_(@_)"/>
    <numFmt numFmtId="167" formatCode="0.0"/>
    <numFmt numFmtId="168" formatCode="#,##0.0000"/>
    <numFmt numFmtId="169" formatCode="0.0000"/>
    <numFmt numFmtId="170" formatCode="&quot;R$&quot;\ #,##0.00"/>
    <numFmt numFmtId="171" formatCode="&quot;R$&quot;\ #,##0.0000"/>
    <numFmt numFmtId="172" formatCode="0.000"/>
    <numFmt numFmtId="173" formatCode="0.000%"/>
  </numFmts>
  <fonts count="72">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Times New Roman"/>
      <family val="1"/>
    </font>
    <font>
      <b/>
      <sz val="10"/>
      <name val="Times New Roman"/>
      <family val="1"/>
    </font>
    <font>
      <sz val="8"/>
      <name val="Times New Roman"/>
      <family val="1"/>
    </font>
    <font>
      <b/>
      <sz val="14"/>
      <name val="Arial"/>
      <family val="2"/>
    </font>
    <font>
      <b/>
      <sz val="10"/>
      <name val="Arial"/>
      <family val="2"/>
    </font>
    <font>
      <sz val="9"/>
      <name val="Arial"/>
      <family val="2"/>
    </font>
    <font>
      <sz val="10"/>
      <name val="Arial"/>
      <family val="2"/>
    </font>
    <font>
      <b/>
      <sz val="9"/>
      <name val="Arial"/>
      <family val="2"/>
    </font>
    <font>
      <sz val="10"/>
      <name val="Arial"/>
      <family val="2"/>
    </font>
    <font>
      <b/>
      <sz val="14"/>
      <color indexed="10"/>
      <name val="Arial"/>
      <family val="2"/>
    </font>
    <font>
      <sz val="8"/>
      <name val="Arial"/>
      <family val="2"/>
    </font>
    <font>
      <i/>
      <sz val="8"/>
      <name val="Lydian BT"/>
      <family val="4"/>
    </font>
    <font>
      <sz val="10"/>
      <name val="Lydian BT"/>
      <family val="4"/>
    </font>
    <font>
      <sz val="12"/>
      <name val="Arial"/>
      <family val="2"/>
    </font>
    <font>
      <b/>
      <sz val="12"/>
      <name val="Arial"/>
      <family val="2"/>
    </font>
    <font>
      <sz val="10"/>
      <name val="Arial"/>
      <family val="2"/>
    </font>
    <font>
      <b/>
      <sz val="14"/>
      <color indexed="10"/>
      <name val="Arial"/>
      <family val="2"/>
    </font>
    <font>
      <sz val="10"/>
      <name val="Times New Roman"/>
      <family val="1"/>
    </font>
    <font>
      <b/>
      <sz val="10"/>
      <name val="Arial"/>
      <family val="2"/>
    </font>
    <font>
      <b/>
      <sz val="10"/>
      <name val="Times New Roman"/>
      <family val="1"/>
    </font>
    <font>
      <sz val="9"/>
      <name val="Arial"/>
      <family val="2"/>
    </font>
    <font>
      <b/>
      <sz val="9"/>
      <name val="Arial"/>
      <family val="2"/>
    </font>
    <font>
      <b/>
      <sz val="11"/>
      <color theme="1"/>
      <name val="Calibri"/>
      <family val="2"/>
      <scheme val="minor"/>
    </font>
    <font>
      <b/>
      <sz val="16"/>
      <color theme="1"/>
      <name val="Century Gothic"/>
      <family val="2"/>
    </font>
    <font>
      <sz val="16"/>
      <color theme="1"/>
      <name val="Century Gothic"/>
      <family val="2"/>
    </font>
    <font>
      <sz val="12"/>
      <color theme="1"/>
      <name val="Century Gothic"/>
      <family val="2"/>
    </font>
    <font>
      <b/>
      <sz val="12"/>
      <color theme="1"/>
      <name val="Century Gothic"/>
      <family val="2"/>
    </font>
    <font>
      <b/>
      <sz val="11"/>
      <color rgb="FF000000"/>
      <name val="Calibri"/>
      <family val="2"/>
      <scheme val="minor"/>
    </font>
    <font>
      <sz val="10"/>
      <name val="Calibri"/>
      <family val="2"/>
      <scheme val="minor"/>
    </font>
    <font>
      <sz val="11.5"/>
      <name val="Calibri"/>
      <family val="2"/>
      <scheme val="minor"/>
    </font>
    <font>
      <b/>
      <sz val="10"/>
      <color rgb="FF000000"/>
      <name val="Calibri"/>
      <family val="2"/>
      <scheme val="minor"/>
    </font>
    <font>
      <sz val="10"/>
      <color rgb="FF000000"/>
      <name val="Calibri"/>
      <family val="2"/>
      <scheme val="minor"/>
    </font>
    <font>
      <b/>
      <sz val="10"/>
      <name val="Calibri"/>
      <family val="2"/>
      <scheme val="minor"/>
    </font>
    <font>
      <sz val="10"/>
      <color theme="1"/>
      <name val="Calibri"/>
      <family val="2"/>
      <scheme val="minor"/>
    </font>
    <font>
      <sz val="11"/>
      <name val="Calibri"/>
      <family val="2"/>
    </font>
    <font>
      <sz val="10"/>
      <color rgb="FF000000"/>
      <name val="Arial"/>
      <family val="2"/>
    </font>
    <font>
      <b/>
      <sz val="11"/>
      <color rgb="FF000000"/>
      <name val="Calibri"/>
      <family val="2"/>
    </font>
    <font>
      <b/>
      <sz val="12"/>
      <color rgb="FF000000"/>
      <name val="Century Gothic"/>
      <family val="2"/>
    </font>
    <font>
      <b/>
      <sz val="11"/>
      <name val="Calibri"/>
      <family val="2"/>
    </font>
    <font>
      <b/>
      <sz val="11"/>
      <name val="Calibri"/>
      <family val="2"/>
      <scheme val="minor"/>
    </font>
    <font>
      <u/>
      <sz val="10"/>
      <color theme="10"/>
      <name val="Arial"/>
      <family val="2"/>
    </font>
    <font>
      <sz val="10"/>
      <color theme="0"/>
      <name val="Calibri"/>
      <family val="2"/>
      <scheme val="minor"/>
    </font>
    <font>
      <sz val="10"/>
      <color theme="0"/>
      <name val="Arial"/>
      <family val="2"/>
    </font>
    <font>
      <sz val="11"/>
      <name val="Calibri"/>
      <family val="2"/>
      <scheme val="minor"/>
    </font>
    <font>
      <sz val="12"/>
      <color rgb="FF000000"/>
      <name val="Century Gothic"/>
      <family val="2"/>
    </font>
    <font>
      <b/>
      <sz val="12"/>
      <name val="Century Gothic"/>
      <family val="2"/>
    </font>
    <font>
      <sz val="11"/>
      <color rgb="FF000000"/>
      <name val="Calibri"/>
      <family val="2"/>
    </font>
  </fonts>
  <fills count="12">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rgb="FFFFFF00"/>
        <bgColor indexed="64"/>
      </patternFill>
    </fill>
    <fill>
      <patternFill patternType="solid">
        <fgColor rgb="FF00B050"/>
        <bgColor indexed="64"/>
      </patternFill>
    </fill>
    <fill>
      <patternFill patternType="solid">
        <fgColor theme="0" tint="-0.14999847407452621"/>
        <bgColor indexed="64"/>
      </patternFill>
    </fill>
    <fill>
      <patternFill patternType="solid">
        <fgColor rgb="FFFFFFFF"/>
        <bgColor indexed="64"/>
      </patternFill>
    </fill>
    <fill>
      <patternFill patternType="solid">
        <fgColor theme="6"/>
        <bgColor indexed="64"/>
      </patternFill>
    </fill>
    <fill>
      <patternFill patternType="solid">
        <fgColor rgb="FFFFFFFF"/>
        <bgColor rgb="FFFFFFFF"/>
      </patternFill>
    </fill>
    <fill>
      <patternFill patternType="solid">
        <fgColor rgb="FF00B050"/>
        <bgColor rgb="FF00B050"/>
      </patternFill>
    </fill>
    <fill>
      <patternFill patternType="solid">
        <fgColor rgb="FF4EA65D"/>
        <bgColor indexed="64"/>
      </patternFill>
    </fill>
  </fills>
  <borders count="5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hair">
        <color indexed="64"/>
      </top>
      <bottom style="hair">
        <color indexed="64"/>
      </bottom>
      <diagonal/>
    </border>
    <border>
      <left/>
      <right style="thin">
        <color indexed="64"/>
      </right>
      <top style="hair">
        <color indexed="64"/>
      </top>
      <bottom/>
      <diagonal/>
    </border>
    <border>
      <left style="thin">
        <color indexed="64"/>
      </left>
      <right style="thin">
        <color indexed="64"/>
      </right>
      <top style="hair">
        <color indexed="64"/>
      </top>
      <bottom/>
      <diagonal/>
    </border>
    <border>
      <left/>
      <right style="thin">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right style="thin">
        <color indexed="64"/>
      </right>
      <top style="hair">
        <color indexed="64"/>
      </top>
      <bottom style="hair">
        <color indexed="64"/>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style="thin">
        <color indexed="64"/>
      </left>
      <right/>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style="medium">
        <color indexed="64"/>
      </left>
      <right/>
      <top/>
      <bottom/>
      <diagonal/>
    </border>
    <border>
      <left/>
      <right style="medium">
        <color indexed="64"/>
      </right>
      <top/>
      <bottom/>
      <diagonal/>
    </border>
    <border>
      <left/>
      <right style="medium">
        <color indexed="64"/>
      </right>
      <top style="thin">
        <color indexed="64"/>
      </top>
      <bottom/>
      <diagonal/>
    </border>
    <border>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hair">
        <color indexed="64"/>
      </top>
      <bottom style="hair">
        <color indexed="64"/>
      </bottom>
      <diagonal/>
    </border>
    <border>
      <left style="thin">
        <color indexed="64"/>
      </left>
      <right style="medium">
        <color indexed="64"/>
      </right>
      <top style="thin">
        <color indexed="64"/>
      </top>
      <bottom style="hair">
        <color indexed="64"/>
      </bottom>
      <diagonal/>
    </border>
    <border>
      <left style="medium">
        <color indexed="64"/>
      </left>
      <right style="thin">
        <color indexed="64"/>
      </right>
      <top style="thin">
        <color indexed="64"/>
      </top>
      <bottom style="hair">
        <color indexed="64"/>
      </bottom>
      <diagonal/>
    </border>
    <border>
      <left style="medium">
        <color indexed="64"/>
      </left>
      <right style="thin">
        <color indexed="64"/>
      </right>
      <top/>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hair">
        <color indexed="64"/>
      </top>
      <bottom/>
      <diagonal/>
    </border>
    <border>
      <left/>
      <right/>
      <top style="medium">
        <color indexed="64"/>
      </top>
      <bottom/>
      <diagonal/>
    </border>
    <border>
      <left/>
      <right style="medium">
        <color indexed="64"/>
      </right>
      <top style="medium">
        <color indexed="64"/>
      </top>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s>
  <cellStyleXfs count="5">
    <xf numFmtId="0" fontId="0" fillId="0" borderId="0"/>
    <xf numFmtId="165" fontId="40" fillId="0" borderId="0"/>
    <xf numFmtId="43" fontId="40" fillId="0" borderId="0"/>
    <xf numFmtId="9" fontId="40" fillId="0" borderId="0"/>
    <xf numFmtId="0" fontId="65" fillId="0" borderId="0"/>
  </cellStyleXfs>
  <cellXfs count="477">
    <xf numFmtId="0" fontId="0" fillId="0" borderId="0" xfId="0"/>
    <xf numFmtId="0" fontId="25" fillId="3" borderId="0" xfId="0" applyFont="1" applyFill="1"/>
    <xf numFmtId="0" fontId="33" fillId="3" borderId="0" xfId="0" applyFont="1" applyFill="1"/>
    <xf numFmtId="0" fontId="33" fillId="3" borderId="1" xfId="0" applyFont="1" applyFill="1" applyBorder="1"/>
    <xf numFmtId="0" fontId="33" fillId="3" borderId="2" xfId="0" applyFont="1" applyFill="1" applyBorder="1"/>
    <xf numFmtId="0" fontId="33" fillId="3" borderId="0" xfId="0" applyFont="1" applyFill="1" applyAlignment="1">
      <alignment horizontal="center"/>
    </xf>
    <xf numFmtId="0" fontId="30" fillId="3" borderId="1" xfId="0" applyFont="1" applyFill="1" applyBorder="1"/>
    <xf numFmtId="0" fontId="26" fillId="3" borderId="0" xfId="0" applyFont="1" applyFill="1" applyAlignment="1">
      <alignment horizontal="center"/>
    </xf>
    <xf numFmtId="0" fontId="26" fillId="3" borderId="0" xfId="0" applyFont="1" applyFill="1" applyAlignment="1">
      <alignment horizontal="left"/>
    </xf>
    <xf numFmtId="0" fontId="32" fillId="3" borderId="2" xfId="0" applyFont="1" applyFill="1" applyBorder="1"/>
    <xf numFmtId="0" fontId="27" fillId="3" borderId="0" xfId="0" applyFont="1" applyFill="1"/>
    <xf numFmtId="0" fontId="33" fillId="3" borderId="3" xfId="0" applyFont="1" applyFill="1" applyBorder="1" applyAlignment="1" applyProtection="1">
      <alignment horizontal="center"/>
      <protection locked="0"/>
    </xf>
    <xf numFmtId="4" fontId="33" fillId="3" borderId="3" xfId="0" applyNumberFormat="1" applyFont="1" applyFill="1" applyBorder="1" applyProtection="1">
      <protection locked="0"/>
    </xf>
    <xf numFmtId="0" fontId="33" fillId="3" borderId="4" xfId="0" applyFont="1" applyFill="1" applyBorder="1" applyAlignment="1" applyProtection="1">
      <alignment horizontal="left"/>
      <protection locked="0"/>
    </xf>
    <xf numFmtId="4" fontId="33" fillId="3" borderId="5" xfId="0" applyNumberFormat="1" applyFont="1" applyFill="1" applyBorder="1" applyProtection="1">
      <protection locked="0"/>
    </xf>
    <xf numFmtId="0" fontId="33" fillId="3" borderId="5" xfId="0" applyFont="1" applyFill="1" applyBorder="1" applyAlignment="1" applyProtection="1">
      <alignment horizontal="center"/>
      <protection locked="0"/>
    </xf>
    <xf numFmtId="0" fontId="32" fillId="3" borderId="1" xfId="0" applyFont="1" applyFill="1" applyBorder="1"/>
    <xf numFmtId="0" fontId="33" fillId="3" borderId="6" xfId="0" applyFont="1" applyFill="1" applyBorder="1" applyAlignment="1" applyProtection="1">
      <alignment horizontal="left"/>
      <protection locked="0"/>
    </xf>
    <xf numFmtId="43" fontId="33" fillId="3" borderId="7" xfId="0" applyNumberFormat="1" applyFont="1" applyFill="1" applyBorder="1" applyAlignment="1" applyProtection="1">
      <alignment horizontal="center"/>
      <protection locked="0"/>
    </xf>
    <xf numFmtId="0" fontId="33" fillId="3" borderId="7" xfId="0" applyFont="1" applyFill="1" applyBorder="1" applyProtection="1">
      <protection locked="0"/>
    </xf>
    <xf numFmtId="4" fontId="33" fillId="3" borderId="7" xfId="0" applyNumberFormat="1" applyFont="1" applyFill="1" applyBorder="1" applyProtection="1">
      <protection locked="0"/>
    </xf>
    <xf numFmtId="43" fontId="33" fillId="3" borderId="5" xfId="0" applyNumberFormat="1" applyFont="1" applyFill="1" applyBorder="1" applyAlignment="1" applyProtection="1">
      <alignment horizontal="center"/>
      <protection locked="0"/>
    </xf>
    <xf numFmtId="0" fontId="35" fillId="3" borderId="8" xfId="0" applyFont="1" applyFill="1" applyBorder="1" applyAlignment="1">
      <alignment horizontal="center" vertical="center"/>
    </xf>
    <xf numFmtId="0" fontId="33" fillId="3" borderId="9" xfId="0" applyFont="1" applyFill="1" applyBorder="1" applyAlignment="1" applyProtection="1">
      <alignment horizontal="left"/>
      <protection locked="0"/>
    </xf>
    <xf numFmtId="4" fontId="33" fillId="3" borderId="10" xfId="0" applyNumberFormat="1" applyFont="1" applyFill="1" applyBorder="1" applyAlignment="1" applyProtection="1">
      <alignment horizontal="center"/>
      <protection locked="0"/>
    </xf>
    <xf numFmtId="0" fontId="33" fillId="3" borderId="10" xfId="0" applyFont="1" applyFill="1" applyBorder="1" applyProtection="1">
      <protection locked="0"/>
    </xf>
    <xf numFmtId="4" fontId="33" fillId="3" borderId="10" xfId="0" applyNumberFormat="1" applyFont="1" applyFill="1" applyBorder="1" applyProtection="1">
      <protection locked="0"/>
    </xf>
    <xf numFmtId="0" fontId="36" fillId="0" borderId="0" xfId="0" applyFont="1" applyAlignment="1">
      <alignment horizontal="center"/>
    </xf>
    <xf numFmtId="0" fontId="37" fillId="0" borderId="0" xfId="0" applyFont="1"/>
    <xf numFmtId="0" fontId="37" fillId="0" borderId="0" xfId="0" applyFont="1" applyAlignment="1">
      <alignment horizontal="center"/>
    </xf>
    <xf numFmtId="0" fontId="25" fillId="0" borderId="8" xfId="0" applyFont="1" applyBorder="1" applyAlignment="1">
      <alignment horizontal="center"/>
    </xf>
    <xf numFmtId="0" fontId="25" fillId="0" borderId="11" xfId="0" applyFont="1" applyBorder="1" applyAlignment="1">
      <alignment horizontal="center"/>
    </xf>
    <xf numFmtId="43" fontId="25" fillId="0" borderId="0" xfId="2" applyFont="1" applyAlignment="1">
      <alignment horizontal="right"/>
    </xf>
    <xf numFmtId="0" fontId="25" fillId="0" borderId="0" xfId="0" applyFont="1" applyProtection="1">
      <protection locked="0"/>
    </xf>
    <xf numFmtId="0" fontId="25" fillId="0" borderId="12" xfId="0" applyFont="1" applyBorder="1" applyAlignment="1" applyProtection="1">
      <alignment horizontal="center"/>
      <protection locked="0"/>
    </xf>
    <xf numFmtId="43" fontId="25" fillId="0" borderId="13" xfId="0" applyNumberFormat="1" applyFont="1" applyBorder="1" applyAlignment="1" applyProtection="1">
      <alignment horizontal="right"/>
      <protection locked="0"/>
    </xf>
    <xf numFmtId="0" fontId="26" fillId="0" borderId="2" xfId="0" applyFont="1" applyBorder="1" applyAlignment="1">
      <alignment horizontal="center" vertical="center"/>
    </xf>
    <xf numFmtId="43" fontId="26" fillId="0" borderId="2" xfId="0" applyNumberFormat="1" applyFont="1" applyBorder="1" applyAlignment="1">
      <alignment horizontal="center" vertical="center"/>
    </xf>
    <xf numFmtId="43" fontId="26" fillId="0" borderId="14" xfId="0" applyNumberFormat="1" applyFont="1" applyBorder="1" applyAlignment="1">
      <alignment horizontal="center" vertical="center"/>
    </xf>
    <xf numFmtId="43" fontId="26" fillId="0" borderId="11" xfId="2" applyFont="1" applyBorder="1" applyAlignment="1">
      <alignment horizontal="center" vertical="center"/>
    </xf>
    <xf numFmtId="0" fontId="37" fillId="0" borderId="0" xfId="0" applyFont="1" applyAlignment="1">
      <alignment vertical="center"/>
    </xf>
    <xf numFmtId="0" fontId="34" fillId="3" borderId="0" xfId="0" applyFont="1" applyFill="1"/>
    <xf numFmtId="0" fontId="29" fillId="3" borderId="0" xfId="0" applyFont="1" applyFill="1"/>
    <xf numFmtId="0" fontId="34" fillId="3" borderId="0" xfId="0" applyFont="1" applyFill="1" applyAlignment="1">
      <alignment vertical="top" wrapText="1"/>
    </xf>
    <xf numFmtId="0" fontId="31" fillId="3" borderId="16" xfId="0" applyFont="1" applyFill="1" applyBorder="1" applyAlignment="1" applyProtection="1">
      <alignment horizontal="left"/>
      <protection locked="0"/>
    </xf>
    <xf numFmtId="1" fontId="31" fillId="3" borderId="3" xfId="0" applyNumberFormat="1" applyFont="1" applyFill="1" applyBorder="1" applyAlignment="1" applyProtection="1">
      <alignment horizontal="center"/>
      <protection locked="0"/>
    </xf>
    <xf numFmtId="0" fontId="31" fillId="3" borderId="3" xfId="0" applyFont="1" applyFill="1" applyBorder="1" applyAlignment="1" applyProtection="1">
      <alignment horizontal="center"/>
      <protection locked="0"/>
    </xf>
    <xf numFmtId="0" fontId="35" fillId="3" borderId="17" xfId="0" applyFont="1" applyFill="1" applyBorder="1" applyAlignment="1">
      <alignment horizontal="center" vertical="center"/>
    </xf>
    <xf numFmtId="0" fontId="38" fillId="3" borderId="0" xfId="0" applyFont="1" applyFill="1"/>
    <xf numFmtId="43" fontId="38" fillId="3" borderId="0" xfId="2" applyFont="1" applyFill="1"/>
    <xf numFmtId="0" fontId="33" fillId="3" borderId="24" xfId="0" applyFont="1" applyFill="1" applyBorder="1"/>
    <xf numFmtId="0" fontId="33" fillId="3" borderId="27" xfId="0" applyFont="1" applyFill="1" applyBorder="1" applyAlignment="1">
      <alignment horizontal="center"/>
    </xf>
    <xf numFmtId="0" fontId="29" fillId="3" borderId="21" xfId="0" applyFont="1" applyFill="1" applyBorder="1"/>
    <xf numFmtId="0" fontId="33" fillId="3" borderId="27" xfId="0" applyFont="1" applyFill="1" applyBorder="1"/>
    <xf numFmtId="0" fontId="32" fillId="3" borderId="21" xfId="0" applyFont="1" applyFill="1" applyBorder="1"/>
    <xf numFmtId="0" fontId="33" fillId="3" borderId="22" xfId="0" applyFont="1" applyFill="1" applyBorder="1"/>
    <xf numFmtId="0" fontId="35" fillId="3" borderId="26" xfId="0" applyFont="1" applyFill="1" applyBorder="1" applyAlignment="1">
      <alignment horizontal="center" vertical="center"/>
    </xf>
    <xf numFmtId="0" fontId="31" fillId="3" borderId="29" xfId="0" applyFont="1" applyFill="1" applyBorder="1" applyAlignment="1" applyProtection="1">
      <alignment horizontal="left"/>
      <protection locked="0"/>
    </xf>
    <xf numFmtId="43" fontId="33" fillId="3" borderId="30" xfId="2" applyFont="1" applyFill="1" applyBorder="1" applyAlignment="1">
      <alignment horizontal="right"/>
    </xf>
    <xf numFmtId="43" fontId="29" fillId="3" borderId="22" xfId="2" applyFont="1" applyFill="1" applyBorder="1" applyAlignment="1">
      <alignment horizontal="center"/>
    </xf>
    <xf numFmtId="0" fontId="32" fillId="3" borderId="23" xfId="0" applyFont="1" applyFill="1" applyBorder="1"/>
    <xf numFmtId="0" fontId="29" fillId="3" borderId="27" xfId="0" applyFont="1" applyFill="1" applyBorder="1"/>
    <xf numFmtId="0" fontId="33" fillId="3" borderId="31" xfId="0" applyFont="1" applyFill="1" applyBorder="1" applyAlignment="1" applyProtection="1">
      <alignment horizontal="left"/>
      <protection locked="0"/>
    </xf>
    <xf numFmtId="43" fontId="29" fillId="3" borderId="22" xfId="2" applyFont="1" applyFill="1" applyBorder="1"/>
    <xf numFmtId="43" fontId="29" fillId="3" borderId="28" xfId="2" applyFont="1" applyFill="1" applyBorder="1" applyAlignment="1">
      <alignment horizontal="center"/>
    </xf>
    <xf numFmtId="0" fontId="33" fillId="3" borderId="32" xfId="0" applyFont="1" applyFill="1" applyBorder="1" applyAlignment="1" applyProtection="1">
      <alignment horizontal="left"/>
      <protection locked="0"/>
    </xf>
    <xf numFmtId="43" fontId="29" fillId="3" borderId="33" xfId="0" applyNumberFormat="1" applyFont="1" applyFill="1" applyBorder="1"/>
    <xf numFmtId="0" fontId="40" fillId="3" borderId="0" xfId="0" applyFont="1" applyFill="1"/>
    <xf numFmtId="0" fontId="42" fillId="3" borderId="0" xfId="0" applyFont="1" applyFill="1"/>
    <xf numFmtId="0" fontId="41" fillId="3" borderId="0" xfId="0" applyFont="1" applyFill="1" applyAlignment="1">
      <alignment vertical="top" wrapText="1"/>
    </xf>
    <xf numFmtId="0" fontId="43" fillId="3" borderId="0" xfId="0" applyFont="1" applyFill="1"/>
    <xf numFmtId="0" fontId="44" fillId="3" borderId="0" xfId="0" applyFont="1" applyFill="1" applyAlignment="1">
      <alignment horizontal="center"/>
    </xf>
    <xf numFmtId="0" fontId="44" fillId="3" borderId="0" xfId="0" applyFont="1" applyFill="1" applyAlignment="1">
      <alignment horizontal="left"/>
    </xf>
    <xf numFmtId="0" fontId="40" fillId="3" borderId="2" xfId="0" applyFont="1" applyFill="1" applyBorder="1" applyAlignment="1">
      <alignment vertical="center"/>
    </xf>
    <xf numFmtId="39" fontId="40" fillId="3" borderId="0" xfId="2" applyNumberFormat="1" applyFill="1" applyProtection="1">
      <protection locked="0"/>
    </xf>
    <xf numFmtId="4" fontId="40" fillId="3" borderId="0" xfId="0" applyNumberFormat="1" applyFont="1" applyFill="1"/>
    <xf numFmtId="43" fontId="40" fillId="3" borderId="0" xfId="2" applyFill="1"/>
    <xf numFmtId="164" fontId="40" fillId="3" borderId="0" xfId="2" applyNumberFormat="1" applyFill="1"/>
    <xf numFmtId="39" fontId="40" fillId="3" borderId="0" xfId="1" applyNumberFormat="1" applyFill="1" applyProtection="1">
      <protection locked="0"/>
    </xf>
    <xf numFmtId="4" fontId="40" fillId="3" borderId="0" xfId="0" applyNumberFormat="1" applyFont="1" applyFill="1" applyProtection="1">
      <protection locked="0"/>
    </xf>
    <xf numFmtId="165" fontId="43" fillId="3" borderId="0" xfId="1" applyFont="1" applyFill="1"/>
    <xf numFmtId="166" fontId="43" fillId="3" borderId="0" xfId="2" applyNumberFormat="1" applyFont="1" applyFill="1"/>
    <xf numFmtId="0" fontId="43" fillId="3" borderId="0" xfId="0" applyFont="1" applyFill="1" applyAlignment="1">
      <alignment horizontal="center"/>
    </xf>
    <xf numFmtId="166" fontId="43" fillId="3" borderId="0" xfId="2" applyNumberFormat="1" applyFont="1" applyFill="1" applyAlignment="1">
      <alignment horizontal="center"/>
    </xf>
    <xf numFmtId="0" fontId="40" fillId="3" borderId="0" xfId="0" applyFont="1" applyFill="1" applyAlignment="1">
      <alignment horizontal="left"/>
    </xf>
    <xf numFmtId="0" fontId="45" fillId="3" borderId="0" xfId="0" applyFont="1" applyFill="1"/>
    <xf numFmtId="0" fontId="46" fillId="3" borderId="0" xfId="0" applyFont="1" applyFill="1"/>
    <xf numFmtId="0" fontId="46" fillId="4" borderId="0" xfId="0" applyFont="1" applyFill="1"/>
    <xf numFmtId="43" fontId="45" fillId="3" borderId="0" xfId="2" applyFont="1" applyFill="1"/>
    <xf numFmtId="4" fontId="46" fillId="3" borderId="0" xfId="0" applyNumberFormat="1" applyFont="1" applyFill="1"/>
    <xf numFmtId="0" fontId="40" fillId="3" borderId="0" xfId="0" applyFont="1" applyFill="1" applyAlignment="1">
      <alignment vertical="center"/>
    </xf>
    <xf numFmtId="0" fontId="40" fillId="3" borderId="0" xfId="0" applyFont="1" applyFill="1" applyProtection="1">
      <protection locked="0"/>
    </xf>
    <xf numFmtId="0" fontId="40" fillId="3" borderId="0" xfId="0" applyFont="1" applyFill="1" applyAlignment="1" applyProtection="1">
      <alignment horizontal="left"/>
      <protection locked="0"/>
    </xf>
    <xf numFmtId="0" fontId="43" fillId="3" borderId="0" xfId="0" applyFont="1" applyFill="1" applyAlignment="1">
      <alignment vertical="center"/>
    </xf>
    <xf numFmtId="43" fontId="45" fillId="3" borderId="0" xfId="0" applyNumberFormat="1" applyFont="1" applyFill="1" applyAlignment="1">
      <alignment horizontal="center"/>
    </xf>
    <xf numFmtId="0" fontId="45" fillId="3" borderId="0" xfId="0" applyFont="1" applyFill="1" applyAlignment="1">
      <alignment horizontal="center"/>
    </xf>
    <xf numFmtId="49" fontId="40" fillId="3" borderId="0" xfId="0" applyNumberFormat="1" applyFont="1" applyFill="1"/>
    <xf numFmtId="0" fontId="39" fillId="3" borderId="0" xfId="0" applyFont="1" applyFill="1"/>
    <xf numFmtId="39" fontId="38" fillId="3" borderId="0" xfId="2" applyNumberFormat="1" applyFont="1" applyFill="1" applyProtection="1">
      <protection locked="0"/>
    </xf>
    <xf numFmtId="4" fontId="38" fillId="3" borderId="0" xfId="0" applyNumberFormat="1" applyFont="1" applyFill="1"/>
    <xf numFmtId="164" fontId="38" fillId="3" borderId="0" xfId="2" applyNumberFormat="1" applyFont="1" applyFill="1"/>
    <xf numFmtId="39" fontId="38" fillId="3" borderId="0" xfId="1" applyNumberFormat="1" applyFont="1" applyFill="1" applyProtection="1">
      <protection locked="0"/>
    </xf>
    <xf numFmtId="4" fontId="38" fillId="3" borderId="0" xfId="0" applyNumberFormat="1" applyFont="1" applyFill="1" applyProtection="1">
      <protection locked="0"/>
    </xf>
    <xf numFmtId="0" fontId="31" fillId="3" borderId="38" xfId="0" applyFont="1" applyFill="1" applyBorder="1" applyAlignment="1" applyProtection="1">
      <alignment horizontal="left"/>
      <protection locked="0"/>
    </xf>
    <xf numFmtId="0" fontId="31" fillId="3" borderId="5" xfId="0" applyFont="1" applyFill="1" applyBorder="1" applyAlignment="1" applyProtection="1">
      <alignment horizontal="center"/>
      <protection locked="0"/>
    </xf>
    <xf numFmtId="0" fontId="50" fillId="3" borderId="19" xfId="0" applyFont="1" applyFill="1" applyBorder="1"/>
    <xf numFmtId="0" fontId="50" fillId="3" borderId="18" xfId="0" applyFont="1" applyFill="1" applyBorder="1"/>
    <xf numFmtId="0" fontId="50" fillId="3" borderId="17" xfId="0" applyFont="1" applyFill="1" applyBorder="1"/>
    <xf numFmtId="0" fontId="50" fillId="3" borderId="12" xfId="0" applyFont="1" applyFill="1" applyBorder="1"/>
    <xf numFmtId="0" fontId="50" fillId="3" borderId="1" xfId="0" applyFont="1" applyFill="1" applyBorder="1"/>
    <xf numFmtId="0" fontId="50" fillId="3" borderId="15" xfId="0" applyFont="1" applyFill="1" applyBorder="1"/>
    <xf numFmtId="0" fontId="49" fillId="3" borderId="0" xfId="0" applyFont="1" applyFill="1" applyAlignment="1">
      <alignment vertical="center"/>
    </xf>
    <xf numFmtId="0" fontId="51" fillId="3" borderId="1" xfId="0" applyFont="1" applyFill="1" applyBorder="1" applyAlignment="1">
      <alignment horizontal="right" vertical="center"/>
    </xf>
    <xf numFmtId="0" fontId="50" fillId="3" borderId="19" xfId="0" applyFont="1" applyFill="1" applyBorder="1" applyAlignment="1">
      <alignment vertical="center"/>
    </xf>
    <xf numFmtId="0" fontId="50" fillId="3" borderId="18" xfId="0" applyFont="1" applyFill="1" applyBorder="1" applyAlignment="1">
      <alignment vertical="center"/>
    </xf>
    <xf numFmtId="0" fontId="50" fillId="3" borderId="17" xfId="0" applyFont="1" applyFill="1" applyBorder="1" applyAlignment="1">
      <alignment vertical="center"/>
    </xf>
    <xf numFmtId="0" fontId="50" fillId="3" borderId="20" xfId="0" applyFont="1" applyFill="1" applyBorder="1" applyAlignment="1">
      <alignment vertical="center"/>
    </xf>
    <xf numFmtId="0" fontId="50" fillId="3" borderId="0" xfId="0" applyFont="1" applyFill="1" applyAlignment="1">
      <alignment vertical="center"/>
    </xf>
    <xf numFmtId="0" fontId="50" fillId="3" borderId="9" xfId="0" applyFont="1" applyFill="1" applyBorder="1" applyAlignment="1">
      <alignment vertical="center"/>
    </xf>
    <xf numFmtId="0" fontId="50" fillId="3" borderId="12" xfId="0" applyFont="1" applyFill="1" applyBorder="1" applyAlignment="1">
      <alignment vertical="center"/>
    </xf>
    <xf numFmtId="0" fontId="50" fillId="3" borderId="1" xfId="0" applyFont="1" applyFill="1" applyBorder="1" applyAlignment="1">
      <alignment vertical="center"/>
    </xf>
    <xf numFmtId="0" fontId="50" fillId="3" borderId="15" xfId="0" applyFont="1" applyFill="1" applyBorder="1" applyAlignment="1">
      <alignment vertical="center"/>
    </xf>
    <xf numFmtId="0" fontId="49" fillId="3" borderId="0" xfId="0" applyFont="1" applyFill="1"/>
    <xf numFmtId="167" fontId="47" fillId="0" borderId="8" xfId="0" applyNumberFormat="1" applyFont="1" applyBorder="1" applyAlignment="1">
      <alignment horizontal="center" vertical="center" wrapText="1"/>
    </xf>
    <xf numFmtId="0" fontId="53" fillId="0" borderId="0" xfId="0" applyFont="1" applyAlignment="1">
      <alignment horizontal="center" vertical="center" wrapText="1"/>
    </xf>
    <xf numFmtId="0" fontId="54" fillId="5" borderId="43" xfId="0" applyFont="1" applyFill="1" applyBorder="1" applyAlignment="1">
      <alignment horizontal="center" vertical="center" wrapText="1"/>
    </xf>
    <xf numFmtId="0" fontId="54" fillId="5" borderId="44" xfId="0" applyFont="1" applyFill="1" applyBorder="1" applyAlignment="1">
      <alignment horizontal="center" vertical="center" wrapText="1"/>
    </xf>
    <xf numFmtId="0" fontId="53" fillId="5" borderId="44" xfId="0" applyFont="1" applyFill="1" applyBorder="1" applyAlignment="1">
      <alignment horizontal="center" vertical="center" wrapText="1"/>
    </xf>
    <xf numFmtId="0" fontId="54" fillId="5" borderId="45" xfId="0" applyFont="1" applyFill="1" applyBorder="1" applyAlignment="1">
      <alignment horizontal="center" vertical="center" wrapText="1"/>
    </xf>
    <xf numFmtId="0" fontId="54" fillId="0" borderId="34" xfId="0" applyFont="1" applyBorder="1" applyAlignment="1">
      <alignment horizontal="center" vertical="center" wrapText="1"/>
    </xf>
    <xf numFmtId="0" fontId="54" fillId="0" borderId="8" xfId="0" applyFont="1" applyBorder="1" applyAlignment="1">
      <alignment horizontal="center" vertical="center" wrapText="1"/>
    </xf>
    <xf numFmtId="4" fontId="54" fillId="0" borderId="8" xfId="0" applyNumberFormat="1" applyFont="1" applyBorder="1" applyAlignment="1">
      <alignment horizontal="center" vertical="center" wrapText="1"/>
    </xf>
    <xf numFmtId="168" fontId="54" fillId="0" borderId="8" xfId="0" applyNumberFormat="1" applyFont="1" applyBorder="1" applyAlignment="1">
      <alignment horizontal="center" vertical="center" wrapText="1"/>
    </xf>
    <xf numFmtId="165" fontId="54" fillId="0" borderId="8" xfId="1" applyFont="1" applyBorder="1" applyAlignment="1">
      <alignment horizontal="center" vertical="center" wrapText="1"/>
    </xf>
    <xf numFmtId="169" fontId="54" fillId="0" borderId="8" xfId="0" applyNumberFormat="1" applyFont="1" applyBorder="1" applyAlignment="1">
      <alignment horizontal="center" vertical="center" wrapText="1"/>
    </xf>
    <xf numFmtId="169" fontId="54" fillId="3" borderId="8" xfId="0" applyNumberFormat="1" applyFont="1" applyFill="1" applyBorder="1" applyAlignment="1">
      <alignment horizontal="center" vertical="center" wrapText="1"/>
    </xf>
    <xf numFmtId="169" fontId="54" fillId="0" borderId="18" xfId="0" applyNumberFormat="1" applyFont="1" applyBorder="1" applyAlignment="1">
      <alignment horizontal="center" vertical="center" wrapText="1"/>
    </xf>
    <xf numFmtId="0" fontId="54" fillId="0" borderId="17" xfId="0" applyFont="1" applyBorder="1" applyAlignment="1">
      <alignment horizontal="center" vertical="center" wrapText="1"/>
    </xf>
    <xf numFmtId="169" fontId="54" fillId="0" borderId="35" xfId="0" applyNumberFormat="1" applyFont="1" applyBorder="1" applyAlignment="1">
      <alignment horizontal="center" vertical="center" wrapText="1"/>
    </xf>
    <xf numFmtId="169" fontId="54" fillId="3" borderId="35" xfId="0" applyNumberFormat="1" applyFont="1" applyFill="1" applyBorder="1" applyAlignment="1">
      <alignment horizontal="center" vertical="center" wrapText="1"/>
    </xf>
    <xf numFmtId="169" fontId="54" fillId="0" borderId="19" xfId="0" applyNumberFormat="1" applyFont="1" applyBorder="1" applyAlignment="1">
      <alignment horizontal="center" vertical="center" wrapText="1"/>
    </xf>
    <xf numFmtId="0" fontId="54" fillId="0" borderId="18" xfId="0" applyFont="1" applyBorder="1" applyAlignment="1">
      <alignment horizontal="center" vertical="center" wrapText="1"/>
    </xf>
    <xf numFmtId="0" fontId="54" fillId="0" borderId="26" xfId="0" applyFont="1" applyBorder="1" applyAlignment="1">
      <alignment horizontal="center" vertical="center" wrapText="1"/>
    </xf>
    <xf numFmtId="0" fontId="54" fillId="0" borderId="24" xfId="0" applyFont="1" applyBorder="1" applyAlignment="1">
      <alignment horizontal="center" vertical="center" wrapText="1"/>
    </xf>
    <xf numFmtId="0" fontId="54" fillId="0" borderId="0" xfId="0" applyFont="1" applyAlignment="1">
      <alignment horizontal="center" vertical="center" wrapText="1"/>
    </xf>
    <xf numFmtId="0" fontId="54" fillId="0" borderId="0" xfId="0" applyFont="1" applyAlignment="1">
      <alignment vertical="center" wrapText="1"/>
    </xf>
    <xf numFmtId="0" fontId="54" fillId="0" borderId="25" xfId="0" applyFont="1" applyBorder="1" applyAlignment="1">
      <alignment horizontal="center" vertical="center" wrapText="1"/>
    </xf>
    <xf numFmtId="0" fontId="54" fillId="5" borderId="8" xfId="0" applyFont="1" applyFill="1" applyBorder="1" applyAlignment="1">
      <alignment horizontal="center" vertical="center" wrapText="1"/>
    </xf>
    <xf numFmtId="2" fontId="54" fillId="0" borderId="8" xfId="0" applyNumberFormat="1" applyFont="1" applyBorder="1" applyAlignment="1">
      <alignment horizontal="center" vertical="center" wrapText="1"/>
    </xf>
    <xf numFmtId="0" fontId="54" fillId="5" borderId="8" xfId="0" quotePrefix="1" applyFont="1" applyFill="1" applyBorder="1" applyAlignment="1">
      <alignment horizontal="center" vertical="center" wrapText="1"/>
    </xf>
    <xf numFmtId="0" fontId="54" fillId="0" borderId="36" xfId="0" applyFont="1" applyBorder="1" applyAlignment="1">
      <alignment horizontal="center" vertical="center" wrapText="1"/>
    </xf>
    <xf numFmtId="0" fontId="54" fillId="0" borderId="37" xfId="0" applyFont="1" applyBorder="1" applyAlignment="1">
      <alignment horizontal="center" vertical="center" wrapText="1"/>
    </xf>
    <xf numFmtId="0" fontId="53" fillId="0" borderId="0" xfId="0" applyFont="1"/>
    <xf numFmtId="0" fontId="53" fillId="0" borderId="8" xfId="0" applyFont="1" applyBorder="1"/>
    <xf numFmtId="0" fontId="53" fillId="0" borderId="34" xfId="0" applyFont="1" applyBorder="1"/>
    <xf numFmtId="167" fontId="47" fillId="0" borderId="28" xfId="0" applyNumberFormat="1" applyFont="1" applyBorder="1" applyAlignment="1">
      <alignment horizontal="center" vertical="center" wrapText="1"/>
    </xf>
    <xf numFmtId="0" fontId="53" fillId="0" borderId="24" xfId="0" applyFont="1" applyBorder="1"/>
    <xf numFmtId="0" fontId="24" fillId="0" borderId="46" xfId="0" applyFont="1" applyBorder="1" applyAlignment="1">
      <alignment horizontal="justify" vertical="center" wrapText="1"/>
    </xf>
    <xf numFmtId="167" fontId="47" fillId="0" borderId="33" xfId="0" applyNumberFormat="1" applyFont="1" applyBorder="1" applyAlignment="1">
      <alignment horizontal="center" vertical="center" wrapText="1"/>
    </xf>
    <xf numFmtId="0" fontId="53" fillId="0" borderId="0" xfId="0" applyFont="1" applyAlignment="1">
      <alignment vertical="center"/>
    </xf>
    <xf numFmtId="0" fontId="52" fillId="5" borderId="8" xfId="0" applyFont="1" applyFill="1" applyBorder="1" applyAlignment="1">
      <alignment horizontal="center" vertical="center" wrapText="1"/>
    </xf>
    <xf numFmtId="0" fontId="52" fillId="5" borderId="48" xfId="0" applyFont="1" applyFill="1" applyBorder="1" applyAlignment="1">
      <alignment horizontal="center" vertical="center" wrapText="1"/>
    </xf>
    <xf numFmtId="0" fontId="52" fillId="5" borderId="49" xfId="0" applyFont="1" applyFill="1" applyBorder="1" applyAlignment="1">
      <alignment horizontal="center" vertical="center" wrapText="1"/>
    </xf>
    <xf numFmtId="0" fontId="47" fillId="3" borderId="0" xfId="0" applyFont="1" applyFill="1" applyAlignment="1">
      <alignment horizontal="right" vertical="center"/>
    </xf>
    <xf numFmtId="0" fontId="24" fillId="3" borderId="20" xfId="0" applyFont="1" applyFill="1" applyBorder="1"/>
    <xf numFmtId="0" fontId="24" fillId="3" borderId="20" xfId="0" applyFont="1" applyFill="1" applyBorder="1" applyAlignment="1">
      <alignment vertical="center"/>
    </xf>
    <xf numFmtId="0" fontId="47" fillId="3" borderId="0" xfId="0" applyFont="1" applyFill="1" applyAlignment="1">
      <alignment horizontal="center" vertical="center"/>
    </xf>
    <xf numFmtId="0" fontId="24" fillId="3" borderId="9" xfId="0" applyFont="1" applyFill="1" applyBorder="1" applyAlignment="1">
      <alignment vertical="center"/>
    </xf>
    <xf numFmtId="169" fontId="24" fillId="3" borderId="0" xfId="0" applyNumberFormat="1" applyFont="1" applyFill="1" applyAlignment="1">
      <alignment horizontal="center" vertical="center"/>
    </xf>
    <xf numFmtId="10" fontId="24" fillId="3" borderId="0" xfId="0" applyNumberFormat="1" applyFont="1" applyFill="1" applyAlignment="1">
      <alignment horizontal="center" vertical="center"/>
    </xf>
    <xf numFmtId="168" fontId="47" fillId="3" borderId="1" xfId="0" applyNumberFormat="1" applyFont="1" applyFill="1" applyBorder="1" applyAlignment="1">
      <alignment horizontal="center" vertical="center"/>
    </xf>
    <xf numFmtId="10" fontId="47" fillId="3" borderId="1" xfId="0" applyNumberFormat="1" applyFont="1" applyFill="1" applyBorder="1" applyAlignment="1">
      <alignment horizontal="center" vertical="center"/>
    </xf>
    <xf numFmtId="0" fontId="24" fillId="3" borderId="15" xfId="0" applyFont="1" applyFill="1" applyBorder="1" applyAlignment="1">
      <alignment vertical="center"/>
    </xf>
    <xf numFmtId="0" fontId="24" fillId="0" borderId="0" xfId="0" applyFont="1" applyAlignment="1">
      <alignment vertical="center"/>
    </xf>
    <xf numFmtId="0" fontId="55" fillId="5" borderId="0" xfId="0" applyFont="1" applyFill="1" applyAlignment="1">
      <alignment horizontal="center" vertical="center"/>
    </xf>
    <xf numFmtId="0" fontId="55" fillId="5" borderId="0" xfId="0" applyFont="1" applyFill="1" applyAlignment="1">
      <alignment horizontal="center" vertical="center" wrapText="1"/>
    </xf>
    <xf numFmtId="4" fontId="54" fillId="0" borderId="8" xfId="1" applyNumberFormat="1" applyFont="1" applyBorder="1" applyAlignment="1">
      <alignment horizontal="center" vertical="center" wrapText="1"/>
    </xf>
    <xf numFmtId="4" fontId="54" fillId="0" borderId="28" xfId="0" applyNumberFormat="1" applyFont="1" applyBorder="1" applyAlignment="1">
      <alignment horizontal="center" vertical="center" wrapText="1"/>
    </xf>
    <xf numFmtId="169" fontId="54" fillId="6" borderId="8" xfId="0" applyNumberFormat="1" applyFont="1" applyFill="1" applyBorder="1" applyAlignment="1">
      <alignment horizontal="center" vertical="center" wrapText="1"/>
    </xf>
    <xf numFmtId="170" fontId="54" fillId="6" borderId="8" xfId="0" applyNumberFormat="1" applyFont="1" applyFill="1" applyBorder="1" applyAlignment="1">
      <alignment horizontal="center" vertical="center" wrapText="1"/>
    </xf>
    <xf numFmtId="0" fontId="55" fillId="3" borderId="8" xfId="0" applyFont="1" applyFill="1" applyBorder="1" applyAlignment="1">
      <alignment horizontal="center" vertical="center"/>
    </xf>
    <xf numFmtId="169" fontId="58" fillId="3" borderId="8" xfId="0" applyNumberFormat="1" applyFont="1" applyFill="1" applyBorder="1" applyAlignment="1">
      <alignment horizontal="center" vertical="center" wrapText="1"/>
    </xf>
    <xf numFmtId="8" fontId="58" fillId="3" borderId="8" xfId="0" applyNumberFormat="1" applyFont="1" applyFill="1" applyBorder="1" applyAlignment="1">
      <alignment horizontal="center" vertical="center" wrapText="1"/>
    </xf>
    <xf numFmtId="169" fontId="56" fillId="3" borderId="8" xfId="0" applyNumberFormat="1" applyFont="1" applyFill="1" applyBorder="1" applyAlignment="1">
      <alignment horizontal="center" vertical="center" wrapText="1"/>
    </xf>
    <xf numFmtId="2" fontId="56" fillId="3" borderId="8" xfId="0" applyNumberFormat="1" applyFont="1" applyFill="1" applyBorder="1" applyAlignment="1">
      <alignment horizontal="center" vertical="center" wrapText="1"/>
    </xf>
    <xf numFmtId="0" fontId="59" fillId="0" borderId="0" xfId="0" applyFont="1" applyAlignment="1">
      <alignment vertical="center"/>
    </xf>
    <xf numFmtId="0" fontId="60" fillId="0" borderId="0" xfId="0" applyFont="1"/>
    <xf numFmtId="4" fontId="0" fillId="0" borderId="0" xfId="0" applyNumberFormat="1"/>
    <xf numFmtId="4" fontId="61" fillId="0" borderId="0" xfId="0" applyNumberFormat="1" applyFont="1"/>
    <xf numFmtId="0" fontId="54" fillId="6" borderId="34" xfId="0" applyFont="1" applyFill="1" applyBorder="1" applyAlignment="1">
      <alignment horizontal="center" vertical="center" wrapText="1"/>
    </xf>
    <xf numFmtId="0" fontId="54" fillId="6" borderId="8" xfId="0" applyFont="1" applyFill="1" applyBorder="1" applyAlignment="1">
      <alignment horizontal="center" vertical="center" wrapText="1"/>
    </xf>
    <xf numFmtId="2" fontId="54" fillId="0" borderId="8" xfId="0" applyNumberFormat="1" applyFont="1" applyBorder="1" applyAlignment="1">
      <alignment horizontal="right" vertical="center" wrapText="1"/>
    </xf>
    <xf numFmtId="0" fontId="24" fillId="3" borderId="0" xfId="0" applyFont="1" applyFill="1" applyAlignment="1">
      <alignment horizontal="center" vertical="center"/>
    </xf>
    <xf numFmtId="0" fontId="61" fillId="5" borderId="0" xfId="0" applyFont="1" applyFill="1" applyAlignment="1">
      <alignment horizontal="center" vertical="center" wrapText="1"/>
    </xf>
    <xf numFmtId="0" fontId="61" fillId="7" borderId="0" xfId="0" applyFont="1" applyFill="1" applyAlignment="1">
      <alignment horizontal="center" vertical="center" wrapText="1"/>
    </xf>
    <xf numFmtId="0" fontId="59" fillId="0" borderId="0" xfId="0" applyFont="1" applyAlignment="1">
      <alignment horizontal="center" vertical="center" wrapText="1"/>
    </xf>
    <xf numFmtId="0" fontId="63" fillId="0" borderId="0" xfId="0" applyFont="1" applyAlignment="1">
      <alignment horizontal="center" vertical="center" wrapText="1"/>
    </xf>
    <xf numFmtId="0" fontId="21" fillId="3" borderId="0" xfId="0" applyFont="1" applyFill="1" applyAlignment="1">
      <alignment horizontal="center" vertical="center"/>
    </xf>
    <xf numFmtId="0" fontId="21" fillId="3" borderId="20" xfId="0" applyFont="1" applyFill="1" applyBorder="1" applyAlignment="1">
      <alignment horizontal="center" vertical="center"/>
    </xf>
    <xf numFmtId="0" fontId="47" fillId="3" borderId="20" xfId="0" applyFont="1" applyFill="1" applyBorder="1" applyAlignment="1">
      <alignment horizontal="center" vertical="center"/>
    </xf>
    <xf numFmtId="0" fontId="20" fillId="3" borderId="20" xfId="0" applyFont="1" applyFill="1" applyBorder="1" applyAlignment="1">
      <alignment horizontal="center" vertical="center"/>
    </xf>
    <xf numFmtId="0" fontId="18" fillId="3" borderId="0" xfId="0" applyFont="1" applyFill="1" applyAlignment="1">
      <alignment horizontal="center" vertical="center"/>
    </xf>
    <xf numFmtId="169" fontId="18" fillId="3" borderId="0" xfId="0" applyNumberFormat="1" applyFont="1" applyFill="1" applyAlignment="1">
      <alignment horizontal="center" vertical="center"/>
    </xf>
    <xf numFmtId="0" fontId="65" fillId="0" borderId="0" xfId="4"/>
    <xf numFmtId="10" fontId="53" fillId="0" borderId="0" xfId="0" applyNumberFormat="1" applyFont="1"/>
    <xf numFmtId="0" fontId="53" fillId="3" borderId="0" xfId="0" applyFont="1" applyFill="1"/>
    <xf numFmtId="0" fontId="12" fillId="3" borderId="9" xfId="0" applyFont="1" applyFill="1" applyBorder="1" applyAlignment="1">
      <alignment vertical="center"/>
    </xf>
    <xf numFmtId="0" fontId="66" fillId="0" borderId="0" xfId="0" applyFont="1"/>
    <xf numFmtId="0" fontId="67" fillId="0" borderId="0" xfId="0" applyFont="1"/>
    <xf numFmtId="0" fontId="53" fillId="0" borderId="0" xfId="0" applyFont="1" applyAlignment="1">
      <alignment horizontal="right" vertical="center" wrapText="1"/>
    </xf>
    <xf numFmtId="170" fontId="53" fillId="0" borderId="0" xfId="0" applyNumberFormat="1" applyFont="1" applyAlignment="1">
      <alignment horizontal="left" vertical="center" wrapText="1"/>
    </xf>
    <xf numFmtId="0" fontId="11" fillId="3" borderId="20" xfId="0" applyFont="1" applyFill="1" applyBorder="1"/>
    <xf numFmtId="0" fontId="11" fillId="3" borderId="20" xfId="0" applyFont="1" applyFill="1" applyBorder="1" applyAlignment="1">
      <alignment vertical="center"/>
    </xf>
    <xf numFmtId="0" fontId="11" fillId="3" borderId="9" xfId="0" applyFont="1" applyFill="1" applyBorder="1" applyAlignment="1">
      <alignment vertical="center"/>
    </xf>
    <xf numFmtId="169" fontId="11" fillId="3" borderId="0" xfId="0" applyNumberFormat="1" applyFont="1" applyFill="1" applyAlignment="1">
      <alignment horizontal="center" vertical="center"/>
    </xf>
    <xf numFmtId="10" fontId="11" fillId="3" borderId="0" xfId="0" applyNumberFormat="1" applyFont="1" applyFill="1" applyAlignment="1">
      <alignment horizontal="center" vertical="center"/>
    </xf>
    <xf numFmtId="0" fontId="11" fillId="3" borderId="15" xfId="0" applyFont="1" applyFill="1" applyBorder="1" applyAlignment="1">
      <alignment vertical="center"/>
    </xf>
    <xf numFmtId="0" fontId="11" fillId="0" borderId="0" xfId="0" applyFont="1" applyAlignment="1">
      <alignment vertical="center"/>
    </xf>
    <xf numFmtId="0" fontId="11" fillId="3" borderId="0" xfId="0" applyFont="1" applyFill="1" applyAlignment="1">
      <alignment horizontal="center" vertical="center"/>
    </xf>
    <xf numFmtId="170" fontId="53" fillId="0" borderId="0" xfId="0" applyNumberFormat="1" applyFont="1" applyAlignment="1">
      <alignment horizontal="center" vertical="center" wrapText="1"/>
    </xf>
    <xf numFmtId="168" fontId="68" fillId="0" borderId="0" xfId="0" applyNumberFormat="1" applyFont="1" applyAlignment="1">
      <alignment horizontal="center" vertical="center"/>
    </xf>
    <xf numFmtId="171" fontId="53" fillId="0" borderId="0" xfId="0" applyNumberFormat="1" applyFont="1"/>
    <xf numFmtId="0" fontId="56" fillId="3" borderId="8" xfId="0" applyFont="1" applyFill="1" applyBorder="1" applyAlignment="1">
      <alignment horizontal="center" vertical="center"/>
    </xf>
    <xf numFmtId="169" fontId="9" fillId="3" borderId="0" xfId="0" applyNumberFormat="1" applyFont="1" applyFill="1" applyAlignment="1">
      <alignment horizontal="center" vertical="center"/>
    </xf>
    <xf numFmtId="0" fontId="56" fillId="3" borderId="11" xfId="0" applyFont="1" applyFill="1" applyBorder="1" applyAlignment="1">
      <alignment horizontal="center" vertical="center"/>
    </xf>
    <xf numFmtId="0" fontId="55" fillId="5" borderId="8" xfId="0" applyFont="1" applyFill="1" applyBorder="1" applyAlignment="1">
      <alignment horizontal="center" vertical="center" wrapText="1"/>
    </xf>
    <xf numFmtId="0" fontId="53" fillId="0" borderId="0" xfId="0" applyFont="1" applyAlignment="1">
      <alignment horizontal="left"/>
    </xf>
    <xf numFmtId="168" fontId="53" fillId="0" borderId="0" xfId="0" applyNumberFormat="1" applyFont="1" applyAlignment="1">
      <alignment horizontal="left"/>
    </xf>
    <xf numFmtId="169" fontId="53" fillId="0" borderId="0" xfId="0" applyNumberFormat="1" applyFont="1" applyAlignment="1">
      <alignment horizontal="left"/>
    </xf>
    <xf numFmtId="0" fontId="66" fillId="0" borderId="0" xfId="0" applyFont="1" applyAlignment="1">
      <alignment horizontal="left"/>
    </xf>
    <xf numFmtId="171" fontId="53" fillId="0" borderId="8" xfId="0" applyNumberFormat="1" applyFont="1" applyBorder="1"/>
    <xf numFmtId="0" fontId="11" fillId="3" borderId="20" xfId="0" applyFont="1" applyFill="1" applyBorder="1" applyAlignment="1">
      <alignment horizontal="center" vertical="center"/>
    </xf>
    <xf numFmtId="0" fontId="12" fillId="3" borderId="0" xfId="0" applyFont="1" applyFill="1" applyAlignment="1">
      <alignment horizontal="center" vertical="center"/>
    </xf>
    <xf numFmtId="0" fontId="8" fillId="3" borderId="0" xfId="0" applyFont="1" applyFill="1" applyAlignment="1">
      <alignment horizontal="center" vertical="center"/>
    </xf>
    <xf numFmtId="169" fontId="8" fillId="3" borderId="0" xfId="0" applyNumberFormat="1" applyFont="1" applyFill="1" applyAlignment="1">
      <alignment horizontal="center" vertical="center"/>
    </xf>
    <xf numFmtId="0" fontId="7" fillId="3" borderId="0" xfId="0" applyFont="1" applyFill="1" applyAlignment="1">
      <alignment horizontal="center" vertical="center"/>
    </xf>
    <xf numFmtId="0" fontId="6" fillId="3" borderId="20" xfId="0" applyFont="1" applyFill="1" applyBorder="1" applyAlignment="1">
      <alignment horizontal="center" vertical="center"/>
    </xf>
    <xf numFmtId="0" fontId="6" fillId="3" borderId="0" xfId="0" applyFont="1" applyFill="1" applyAlignment="1">
      <alignment horizontal="center" vertical="center"/>
    </xf>
    <xf numFmtId="0" fontId="53" fillId="8" borderId="0" xfId="0" applyFont="1" applyFill="1"/>
    <xf numFmtId="0" fontId="69" fillId="7" borderId="0" xfId="0" applyFont="1" applyFill="1" applyAlignment="1">
      <alignment vertical="center"/>
    </xf>
    <xf numFmtId="0" fontId="2" fillId="3" borderId="0" xfId="0" applyFont="1" applyFill="1" applyAlignment="1">
      <alignment horizontal="center" vertical="center"/>
    </xf>
    <xf numFmtId="10" fontId="68" fillId="0" borderId="0" xfId="3" applyNumberFormat="1" applyFont="1" applyAlignment="1">
      <alignment horizontal="center"/>
    </xf>
    <xf numFmtId="0" fontId="63" fillId="7" borderId="0" xfId="0" applyFont="1" applyFill="1" applyAlignment="1">
      <alignment horizontal="center" vertical="center"/>
    </xf>
    <xf numFmtId="0" fontId="63" fillId="7" borderId="0" xfId="0" applyFont="1" applyFill="1" applyAlignment="1">
      <alignment vertical="center"/>
    </xf>
    <xf numFmtId="0" fontId="71" fillId="7" borderId="0" xfId="0" applyFont="1" applyFill="1" applyAlignment="1">
      <alignment horizontal="center" vertical="center"/>
    </xf>
    <xf numFmtId="0" fontId="63" fillId="7" borderId="0" xfId="0" applyFont="1" applyFill="1" applyAlignment="1">
      <alignment horizontal="center" vertical="center"/>
    </xf>
    <xf numFmtId="0" fontId="63" fillId="11" borderId="0" xfId="0" applyFont="1" applyFill="1" applyAlignment="1">
      <alignment horizontal="center" vertical="center" wrapText="1"/>
    </xf>
    <xf numFmtId="0" fontId="51" fillId="3" borderId="20" xfId="0" applyFont="1" applyFill="1" applyBorder="1" applyAlignment="1">
      <alignment horizontal="right" vertical="center"/>
    </xf>
    <xf numFmtId="0" fontId="0" fillId="0" borderId="0" xfId="0"/>
    <xf numFmtId="0" fontId="48" fillId="5" borderId="8" xfId="0" applyFont="1" applyFill="1" applyBorder="1" applyAlignment="1">
      <alignment horizontal="center" vertical="center"/>
    </xf>
    <xf numFmtId="0" fontId="0" fillId="0" borderId="2" xfId="0" applyBorder="1"/>
    <xf numFmtId="0" fontId="0" fillId="0" borderId="14" xfId="0" applyBorder="1"/>
    <xf numFmtId="0" fontId="50" fillId="3" borderId="9" xfId="0" applyFont="1" applyFill="1" applyBorder="1" applyAlignment="1">
      <alignment horizontal="left" vertical="center"/>
    </xf>
    <xf numFmtId="0" fontId="0" fillId="0" borderId="9" xfId="0" applyBorder="1"/>
    <xf numFmtId="0" fontId="48" fillId="5" borderId="0" xfId="0" applyFont="1" applyFill="1" applyAlignment="1">
      <alignment horizontal="center" vertical="center"/>
    </xf>
    <xf numFmtId="0" fontId="51" fillId="3" borderId="19" xfId="0" applyFont="1" applyFill="1" applyBorder="1" applyAlignment="1">
      <alignment horizontal="right" vertical="center"/>
    </xf>
    <xf numFmtId="0" fontId="0" fillId="0" borderId="18" xfId="0" applyBorder="1"/>
    <xf numFmtId="0" fontId="51" fillId="0" borderId="8" xfId="0" applyFont="1" applyBorder="1" applyAlignment="1">
      <alignment horizontal="center" vertical="center"/>
    </xf>
    <xf numFmtId="0" fontId="50" fillId="3" borderId="1" xfId="0" applyFont="1" applyFill="1" applyBorder="1" applyAlignment="1">
      <alignment horizontal="center" vertical="center"/>
    </xf>
    <xf numFmtId="0" fontId="0" fillId="0" borderId="1" xfId="0" applyBorder="1"/>
    <xf numFmtId="0" fontId="50" fillId="3" borderId="17" xfId="0" applyFont="1" applyFill="1" applyBorder="1" applyAlignment="1">
      <alignment horizontal="left" vertical="center"/>
    </xf>
    <xf numFmtId="0" fontId="0" fillId="0" borderId="17" xfId="0" applyBorder="1"/>
    <xf numFmtId="0" fontId="0" fillId="0" borderId="12" xfId="0" applyBorder="1"/>
    <xf numFmtId="0" fontId="0" fillId="0" borderId="15" xfId="0" applyBorder="1"/>
    <xf numFmtId="0" fontId="50" fillId="3" borderId="1" xfId="0" applyFont="1" applyFill="1" applyBorder="1" applyAlignment="1">
      <alignment horizontal="left" vertical="center"/>
    </xf>
    <xf numFmtId="0" fontId="50" fillId="3" borderId="13" xfId="0" applyFont="1" applyFill="1" applyBorder="1" applyAlignment="1">
      <alignment horizontal="center" vertical="center"/>
    </xf>
    <xf numFmtId="169" fontId="50" fillId="3" borderId="13" xfId="0" applyNumberFormat="1" applyFont="1" applyFill="1" applyBorder="1" applyAlignment="1">
      <alignment horizontal="center" vertical="center"/>
    </xf>
    <xf numFmtId="0" fontId="50" fillId="3" borderId="35" xfId="0" applyFont="1" applyFill="1" applyBorder="1" applyAlignment="1">
      <alignment horizontal="center" vertical="center"/>
    </xf>
    <xf numFmtId="0" fontId="50" fillId="3" borderId="15" xfId="0" applyFont="1" applyFill="1" applyBorder="1" applyAlignment="1">
      <alignment horizontal="left" vertical="center"/>
    </xf>
    <xf numFmtId="2" fontId="50" fillId="3" borderId="35" xfId="0" applyNumberFormat="1" applyFont="1" applyFill="1" applyBorder="1" applyAlignment="1">
      <alignment horizontal="center" vertical="center"/>
    </xf>
    <xf numFmtId="0" fontId="51" fillId="3" borderId="12" xfId="0" applyFont="1" applyFill="1" applyBorder="1" applyAlignment="1">
      <alignment horizontal="right" vertical="center"/>
    </xf>
    <xf numFmtId="2" fontId="50" fillId="3" borderId="13" xfId="0" applyNumberFormat="1" applyFont="1" applyFill="1" applyBorder="1" applyAlignment="1">
      <alignment horizontal="center" vertical="center"/>
    </xf>
    <xf numFmtId="170" fontId="51" fillId="3" borderId="1" xfId="0" applyNumberFormat="1" applyFont="1" applyFill="1" applyBorder="1" applyAlignment="1">
      <alignment horizontal="center"/>
    </xf>
    <xf numFmtId="0" fontId="51" fillId="3" borderId="20" xfId="0" applyFont="1" applyFill="1" applyBorder="1" applyAlignment="1">
      <alignment horizontal="center"/>
    </xf>
    <xf numFmtId="169" fontId="50" fillId="3" borderId="35" xfId="0" applyNumberFormat="1" applyFont="1" applyFill="1" applyBorder="1" applyAlignment="1">
      <alignment horizontal="center" vertical="center"/>
    </xf>
    <xf numFmtId="170" fontId="51" fillId="3" borderId="15" xfId="0" applyNumberFormat="1" applyFont="1" applyFill="1" applyBorder="1" applyAlignment="1">
      <alignment horizontal="center"/>
    </xf>
    <xf numFmtId="0" fontId="50" fillId="3" borderId="0" xfId="0" applyFont="1" applyFill="1" applyAlignment="1">
      <alignment horizontal="center" vertical="center"/>
    </xf>
    <xf numFmtId="170" fontId="51" fillId="3" borderId="9" xfId="0" applyNumberFormat="1" applyFont="1" applyFill="1" applyBorder="1" applyAlignment="1">
      <alignment horizontal="center"/>
    </xf>
    <xf numFmtId="0" fontId="51" fillId="3" borderId="12" xfId="0" applyFont="1" applyFill="1" applyBorder="1" applyAlignment="1">
      <alignment horizontal="center"/>
    </xf>
    <xf numFmtId="170" fontId="51" fillId="3" borderId="0" xfId="0" applyNumberFormat="1" applyFont="1" applyFill="1" applyAlignment="1">
      <alignment horizontal="center"/>
    </xf>
    <xf numFmtId="0" fontId="51" fillId="3" borderId="19" xfId="0" applyFont="1" applyFill="1" applyBorder="1" applyAlignment="1">
      <alignment horizontal="center"/>
    </xf>
    <xf numFmtId="170" fontId="51" fillId="3" borderId="18" xfId="0" applyNumberFormat="1" applyFont="1" applyFill="1" applyBorder="1" applyAlignment="1">
      <alignment horizontal="center"/>
    </xf>
    <xf numFmtId="170" fontId="51" fillId="3" borderId="17" xfId="0" applyNumberFormat="1" applyFont="1" applyFill="1" applyBorder="1" applyAlignment="1">
      <alignment horizontal="center"/>
    </xf>
    <xf numFmtId="0" fontId="63" fillId="5" borderId="0" xfId="0" applyFont="1" applyFill="1" applyAlignment="1">
      <alignment horizontal="center" vertical="center" wrapText="1"/>
    </xf>
    <xf numFmtId="0" fontId="53" fillId="0" borderId="0" xfId="0" applyFont="1"/>
    <xf numFmtId="0" fontId="63" fillId="11" borderId="0" xfId="0" applyFont="1" applyFill="1" applyAlignment="1">
      <alignment horizontal="center" vertical="center"/>
    </xf>
    <xf numFmtId="0" fontId="63" fillId="7" borderId="0" xfId="0" applyFont="1" applyFill="1" applyAlignment="1">
      <alignment horizontal="center" vertical="center"/>
    </xf>
    <xf numFmtId="0" fontId="63" fillId="7" borderId="0" xfId="0" applyFont="1" applyFill="1" applyAlignment="1">
      <alignment horizontal="center" vertical="center" wrapText="1"/>
    </xf>
    <xf numFmtId="0" fontId="59" fillId="0" borderId="0" xfId="0" applyFont="1" applyAlignment="1">
      <alignment horizontal="justify" vertical="center" wrapText="1"/>
    </xf>
    <xf numFmtId="0" fontId="63" fillId="0" borderId="0" xfId="0" applyFont="1" applyAlignment="1">
      <alignment horizontal="center" vertical="center" wrapText="1"/>
    </xf>
    <xf numFmtId="10" fontId="55" fillId="3" borderId="8" xfId="0" applyNumberFormat="1" applyFont="1" applyFill="1" applyBorder="1" applyAlignment="1">
      <alignment horizontal="center" vertical="center"/>
    </xf>
    <xf numFmtId="0" fontId="53" fillId="3" borderId="8" xfId="0" applyFont="1" applyFill="1" applyBorder="1" applyAlignment="1">
      <alignment horizontal="center"/>
    </xf>
    <xf numFmtId="0" fontId="55" fillId="3" borderId="8" xfId="0" applyFont="1" applyFill="1" applyBorder="1" applyAlignment="1">
      <alignment horizontal="center" vertical="center"/>
    </xf>
    <xf numFmtId="169" fontId="56" fillId="3" borderId="8" xfId="0" applyNumberFormat="1" applyFont="1" applyFill="1" applyBorder="1" applyAlignment="1">
      <alignment horizontal="center" vertical="center"/>
    </xf>
    <xf numFmtId="0" fontId="55" fillId="0" borderId="8" xfId="0" applyFont="1" applyBorder="1" applyAlignment="1">
      <alignment horizontal="center" vertical="center"/>
    </xf>
    <xf numFmtId="10" fontId="55" fillId="3" borderId="11" xfId="0" applyNumberFormat="1" applyFont="1" applyFill="1" applyBorder="1" applyAlignment="1">
      <alignment horizontal="center" vertical="center"/>
    </xf>
    <xf numFmtId="10" fontId="55" fillId="3" borderId="14" xfId="0" applyNumberFormat="1" applyFont="1" applyFill="1" applyBorder="1" applyAlignment="1">
      <alignment horizontal="center" vertical="center"/>
    </xf>
    <xf numFmtId="169" fontId="56" fillId="0" borderId="11" xfId="0" applyNumberFormat="1" applyFont="1" applyBorder="1" applyAlignment="1">
      <alignment horizontal="center" vertical="center"/>
    </xf>
    <xf numFmtId="169" fontId="56" fillId="0" borderId="14" xfId="0" applyNumberFormat="1" applyFont="1" applyBorder="1" applyAlignment="1">
      <alignment horizontal="center" vertical="center"/>
    </xf>
    <xf numFmtId="0" fontId="56" fillId="3" borderId="11" xfId="0" applyFont="1" applyFill="1" applyBorder="1" applyAlignment="1">
      <alignment horizontal="left" vertical="center"/>
    </xf>
    <xf numFmtId="0" fontId="56" fillId="3" borderId="2" xfId="0" applyFont="1" applyFill="1" applyBorder="1" applyAlignment="1">
      <alignment horizontal="left" vertical="center"/>
    </xf>
    <xf numFmtId="0" fontId="56" fillId="3" borderId="14" xfId="0" applyFont="1" applyFill="1" applyBorder="1" applyAlignment="1">
      <alignment horizontal="left" vertical="center"/>
    </xf>
    <xf numFmtId="0" fontId="56" fillId="0" borderId="8" xfId="0" applyFont="1" applyBorder="1" applyAlignment="1">
      <alignment horizontal="left" vertical="center"/>
    </xf>
    <xf numFmtId="0" fontId="56" fillId="3" borderId="11" xfId="0" applyFont="1" applyFill="1" applyBorder="1" applyAlignment="1">
      <alignment horizontal="center" vertical="center"/>
    </xf>
    <xf numFmtId="0" fontId="56" fillId="3" borderId="14" xfId="0" applyFont="1" applyFill="1" applyBorder="1" applyAlignment="1">
      <alignment horizontal="center" vertical="center"/>
    </xf>
    <xf numFmtId="10" fontId="64" fillId="0" borderId="11" xfId="3" applyNumberFormat="1" applyFont="1" applyBorder="1" applyAlignment="1">
      <alignment horizontal="center"/>
    </xf>
    <xf numFmtId="10" fontId="64" fillId="0" borderId="14" xfId="3" applyNumberFormat="1" applyFont="1" applyBorder="1" applyAlignment="1">
      <alignment horizontal="center"/>
    </xf>
    <xf numFmtId="0" fontId="57" fillId="3" borderId="13" xfId="0" applyFont="1" applyFill="1" applyBorder="1" applyAlignment="1">
      <alignment horizontal="center"/>
    </xf>
    <xf numFmtId="49" fontId="57" fillId="5" borderId="8" xfId="0" applyNumberFormat="1" applyFont="1" applyFill="1" applyBorder="1" applyAlignment="1">
      <alignment horizontal="center"/>
    </xf>
    <xf numFmtId="49" fontId="0" fillId="0" borderId="2" xfId="0" applyNumberFormat="1" applyBorder="1"/>
    <xf numFmtId="49" fontId="0" fillId="0" borderId="14" xfId="0" applyNumberFormat="1" applyBorder="1"/>
    <xf numFmtId="0" fontId="57" fillId="3" borderId="8" xfId="0" applyFont="1" applyFill="1" applyBorder="1" applyAlignment="1">
      <alignment horizontal="center"/>
    </xf>
    <xf numFmtId="0" fontId="55" fillId="5" borderId="8" xfId="0" applyFont="1" applyFill="1" applyBorder="1" applyAlignment="1">
      <alignment horizontal="center" vertical="center"/>
    </xf>
    <xf numFmtId="168" fontId="56" fillId="3" borderId="8" xfId="0" applyNumberFormat="1" applyFont="1" applyFill="1" applyBorder="1" applyAlignment="1">
      <alignment horizontal="center" vertical="center"/>
    </xf>
    <xf numFmtId="0" fontId="55" fillId="3" borderId="13" xfId="0" applyFont="1" applyFill="1" applyBorder="1" applyAlignment="1">
      <alignment horizontal="center" vertical="center"/>
    </xf>
    <xf numFmtId="0" fontId="56" fillId="3" borderId="8" xfId="0" applyFont="1" applyFill="1" applyBorder="1" applyAlignment="1">
      <alignment horizontal="center" vertical="center"/>
    </xf>
    <xf numFmtId="0" fontId="55" fillId="5" borderId="0" xfId="0" applyFont="1" applyFill="1" applyAlignment="1">
      <alignment horizontal="center" vertical="center"/>
    </xf>
    <xf numFmtId="169" fontId="56" fillId="0" borderId="8" xfId="0" applyNumberFormat="1" applyFont="1" applyBorder="1" applyAlignment="1">
      <alignment horizontal="center" vertical="center"/>
    </xf>
    <xf numFmtId="168" fontId="53" fillId="3" borderId="8" xfId="0" applyNumberFormat="1" applyFont="1" applyFill="1" applyBorder="1" applyAlignment="1">
      <alignment horizontal="center"/>
    </xf>
    <xf numFmtId="0" fontId="56" fillId="0" borderId="11" xfId="0" applyFont="1" applyBorder="1" applyAlignment="1">
      <alignment horizontal="left" vertical="center"/>
    </xf>
    <xf numFmtId="0" fontId="56" fillId="0" borderId="2" xfId="0" applyFont="1" applyBorder="1" applyAlignment="1">
      <alignment horizontal="left" vertical="center"/>
    </xf>
    <xf numFmtId="0" fontId="56" fillId="0" borderId="14" xfId="0" applyFont="1" applyBorder="1" applyAlignment="1">
      <alignment horizontal="left" vertical="center"/>
    </xf>
    <xf numFmtId="0" fontId="53" fillId="5" borderId="8" xfId="0" applyFont="1" applyFill="1" applyBorder="1" applyAlignment="1">
      <alignment horizontal="center"/>
    </xf>
    <xf numFmtId="0" fontId="6" fillId="3" borderId="0" xfId="0" applyFont="1" applyFill="1" applyAlignment="1">
      <alignment horizontal="left" vertical="center"/>
    </xf>
    <xf numFmtId="0" fontId="47" fillId="3" borderId="20" xfId="0" applyFont="1" applyFill="1" applyBorder="1" applyAlignment="1">
      <alignment horizontal="center" vertical="center"/>
    </xf>
    <xf numFmtId="0" fontId="47" fillId="3" borderId="0" xfId="0" applyFont="1" applyFill="1" applyAlignment="1">
      <alignment horizontal="right" vertical="center"/>
    </xf>
    <xf numFmtId="0" fontId="5" fillId="3" borderId="0" xfId="0" applyFont="1" applyFill="1" applyAlignment="1">
      <alignment horizontal="left" vertical="center"/>
    </xf>
    <xf numFmtId="2" fontId="24" fillId="3" borderId="0" xfId="0" applyNumberFormat="1" applyFont="1" applyFill="1" applyAlignment="1">
      <alignment horizontal="center" vertical="center"/>
    </xf>
    <xf numFmtId="0" fontId="47" fillId="3" borderId="20" xfId="0" applyFont="1" applyFill="1" applyBorder="1" applyAlignment="1" applyProtection="1">
      <alignment horizontal="right" vertical="center"/>
      <protection locked="0"/>
    </xf>
    <xf numFmtId="0" fontId="0" fillId="0" borderId="0" xfId="0" applyProtection="1">
      <protection locked="0"/>
    </xf>
    <xf numFmtId="171" fontId="23" fillId="3" borderId="9" xfId="0" applyNumberFormat="1" applyFont="1" applyFill="1" applyBorder="1" applyAlignment="1">
      <alignment horizontal="left" vertical="center"/>
    </xf>
    <xf numFmtId="0" fontId="47" fillId="3" borderId="20" xfId="0" applyFont="1" applyFill="1" applyBorder="1" applyAlignment="1">
      <alignment horizontal="right" vertical="center"/>
    </xf>
    <xf numFmtId="0" fontId="11" fillId="3" borderId="0" xfId="0" applyFont="1" applyFill="1" applyAlignment="1">
      <alignment horizontal="left" vertical="center"/>
    </xf>
    <xf numFmtId="0" fontId="22" fillId="3" borderId="0" xfId="0" applyFont="1" applyFill="1" applyAlignment="1">
      <alignment horizontal="left" vertical="center"/>
    </xf>
    <xf numFmtId="0" fontId="5" fillId="3" borderId="20" xfId="0" applyFont="1" applyFill="1" applyBorder="1" applyAlignment="1">
      <alignment horizontal="center" vertical="center"/>
    </xf>
    <xf numFmtId="0" fontId="6" fillId="3" borderId="20" xfId="0" applyFont="1" applyFill="1" applyBorder="1" applyAlignment="1">
      <alignment horizontal="center" vertical="center"/>
    </xf>
    <xf numFmtId="0" fontId="5" fillId="3" borderId="9" xfId="0" applyFont="1" applyFill="1" applyBorder="1" applyAlignment="1">
      <alignment horizontal="left" vertical="center"/>
    </xf>
    <xf numFmtId="0" fontId="47" fillId="3" borderId="0" xfId="0" applyFont="1" applyFill="1" applyAlignment="1">
      <alignment horizontal="center" vertical="center"/>
    </xf>
    <xf numFmtId="0" fontId="5" fillId="3" borderId="9" xfId="0" applyFont="1" applyFill="1" applyBorder="1" applyAlignment="1">
      <alignment horizontal="left" vertical="top" wrapText="1"/>
    </xf>
    <xf numFmtId="0" fontId="14" fillId="3" borderId="0" xfId="0" applyFont="1" applyFill="1" applyAlignment="1">
      <alignment horizontal="left" vertical="center"/>
    </xf>
    <xf numFmtId="168" fontId="4" fillId="0" borderId="0" xfId="0" applyNumberFormat="1" applyFont="1" applyAlignment="1">
      <alignment horizontal="left" vertical="center"/>
    </xf>
    <xf numFmtId="2" fontId="11" fillId="3" borderId="0" xfId="0" applyNumberFormat="1" applyFont="1" applyFill="1" applyAlignment="1">
      <alignment horizontal="center" vertical="center"/>
    </xf>
    <xf numFmtId="0" fontId="47" fillId="6" borderId="10" xfId="0" applyFont="1" applyFill="1" applyBorder="1" applyAlignment="1">
      <alignment horizontal="center" vertical="center"/>
    </xf>
    <xf numFmtId="14" fontId="20" fillId="3" borderId="9" xfId="0" applyNumberFormat="1" applyFont="1" applyFill="1" applyBorder="1" applyAlignment="1">
      <alignment horizontal="left" vertical="center"/>
    </xf>
    <xf numFmtId="14" fontId="10" fillId="3" borderId="9" xfId="0" applyNumberFormat="1" applyFont="1" applyFill="1" applyBorder="1" applyAlignment="1">
      <alignment horizontal="left" vertical="center"/>
    </xf>
    <xf numFmtId="2" fontId="12" fillId="3" borderId="0" xfId="0" applyNumberFormat="1" applyFont="1" applyFill="1" applyAlignment="1">
      <alignment horizontal="center" vertical="center"/>
    </xf>
    <xf numFmtId="0" fontId="19" fillId="3" borderId="20" xfId="0" applyFont="1" applyFill="1" applyBorder="1" applyAlignment="1">
      <alignment horizontal="center" vertical="center"/>
    </xf>
    <xf numFmtId="170" fontId="24" fillId="0" borderId="0" xfId="0" applyNumberFormat="1" applyFont="1" applyAlignment="1">
      <alignment horizontal="left" vertical="center"/>
    </xf>
    <xf numFmtId="0" fontId="47" fillId="5" borderId="0" xfId="0" applyFont="1" applyFill="1" applyAlignment="1">
      <alignment horizontal="center" vertical="center"/>
    </xf>
    <xf numFmtId="0" fontId="16" fillId="3" borderId="0" xfId="0" applyFont="1" applyFill="1" applyAlignment="1">
      <alignment horizontal="left" vertical="center"/>
    </xf>
    <xf numFmtId="169" fontId="47" fillId="3" borderId="1" xfId="0" applyNumberFormat="1" applyFont="1" applyFill="1" applyBorder="1" applyAlignment="1">
      <alignment horizontal="center" vertical="center"/>
    </xf>
    <xf numFmtId="0" fontId="2" fillId="3" borderId="20" xfId="0" applyFont="1" applyFill="1" applyBorder="1" applyAlignment="1">
      <alignment horizontal="center" vertical="center"/>
    </xf>
    <xf numFmtId="0" fontId="47" fillId="3" borderId="0" xfId="0" applyFont="1" applyFill="1" applyBorder="1" applyAlignment="1">
      <alignment horizontal="center" vertical="center"/>
    </xf>
    <xf numFmtId="2" fontId="2" fillId="3" borderId="0" xfId="0" applyNumberFormat="1" applyFont="1" applyFill="1" applyAlignment="1">
      <alignment horizontal="center" vertical="center"/>
    </xf>
    <xf numFmtId="0" fontId="47" fillId="3" borderId="12" xfId="0" applyFont="1" applyFill="1" applyBorder="1" applyAlignment="1">
      <alignment horizontal="center" vertical="center"/>
    </xf>
    <xf numFmtId="0" fontId="24" fillId="3" borderId="9" xfId="0" applyFont="1" applyFill="1" applyBorder="1" applyAlignment="1">
      <alignment horizontal="left" vertical="center"/>
    </xf>
    <xf numFmtId="0" fontId="20" fillId="3" borderId="9" xfId="0" applyFont="1" applyFill="1" applyBorder="1" applyAlignment="1">
      <alignment horizontal="left" vertical="center"/>
    </xf>
    <xf numFmtId="0" fontId="13" fillId="3" borderId="9" xfId="0" applyFont="1" applyFill="1" applyBorder="1" applyAlignment="1">
      <alignment horizontal="left" vertical="center"/>
    </xf>
    <xf numFmtId="170" fontId="23" fillId="3" borderId="0" xfId="0" applyNumberFormat="1" applyFont="1" applyFill="1" applyAlignment="1">
      <alignment horizontal="left" vertical="center"/>
    </xf>
    <xf numFmtId="0" fontId="24" fillId="3" borderId="0" xfId="0" applyFont="1" applyFill="1" applyAlignment="1">
      <alignment horizontal="left" vertical="center"/>
    </xf>
    <xf numFmtId="171" fontId="11" fillId="3" borderId="9" xfId="0" applyNumberFormat="1" applyFont="1" applyFill="1" applyBorder="1" applyAlignment="1">
      <alignment horizontal="left" vertical="center"/>
    </xf>
    <xf numFmtId="171" fontId="24" fillId="3" borderId="9" xfId="0" applyNumberFormat="1" applyFont="1" applyFill="1" applyBorder="1" applyAlignment="1">
      <alignment horizontal="left" vertical="center"/>
    </xf>
    <xf numFmtId="0" fontId="3" fillId="3" borderId="20" xfId="0" applyFont="1" applyFill="1" applyBorder="1" applyAlignment="1">
      <alignment horizontal="center" vertical="center"/>
    </xf>
    <xf numFmtId="3" fontId="10" fillId="0" borderId="0" xfId="0" applyNumberFormat="1" applyFont="1" applyAlignment="1">
      <alignment horizontal="left" vertical="center"/>
    </xf>
    <xf numFmtId="0" fontId="1" fillId="3" borderId="9" xfId="0" applyFont="1" applyFill="1" applyBorder="1" applyAlignment="1">
      <alignment horizontal="left" vertical="center"/>
    </xf>
    <xf numFmtId="168" fontId="11" fillId="3" borderId="0" xfId="0" applyNumberFormat="1" applyFont="1" applyFill="1" applyAlignment="1">
      <alignment horizontal="left" vertical="center"/>
    </xf>
    <xf numFmtId="168" fontId="10" fillId="0" borderId="0" xfId="0" applyNumberFormat="1" applyFont="1" applyAlignment="1">
      <alignment horizontal="left" vertical="center"/>
    </xf>
    <xf numFmtId="0" fontId="6" fillId="3" borderId="9" xfId="0" applyFont="1" applyFill="1" applyBorder="1" applyAlignment="1">
      <alignment horizontal="left" vertical="top" wrapText="1"/>
    </xf>
    <xf numFmtId="0" fontId="11" fillId="3" borderId="9" xfId="0" applyFont="1" applyFill="1" applyBorder="1" applyAlignment="1">
      <alignment horizontal="left" vertical="center"/>
    </xf>
    <xf numFmtId="168" fontId="23" fillId="3" borderId="0" xfId="0" applyNumberFormat="1" applyFont="1" applyFill="1" applyAlignment="1">
      <alignment horizontal="left" vertical="center"/>
    </xf>
    <xf numFmtId="0" fontId="7" fillId="3" borderId="9" xfId="0" applyFont="1" applyFill="1" applyBorder="1" applyAlignment="1">
      <alignment horizontal="left" vertical="top" wrapText="1"/>
    </xf>
    <xf numFmtId="170" fontId="11" fillId="0" borderId="0" xfId="0" applyNumberFormat="1" applyFont="1" applyAlignment="1">
      <alignment horizontal="left" vertical="center"/>
    </xf>
    <xf numFmtId="0" fontId="3" fillId="3" borderId="0" xfId="0" applyFont="1" applyFill="1" applyAlignment="1">
      <alignment horizontal="left" vertical="center"/>
    </xf>
    <xf numFmtId="0" fontId="24" fillId="3" borderId="20" xfId="0" applyFont="1" applyFill="1" applyBorder="1" applyAlignment="1">
      <alignment horizontal="center" vertical="center"/>
    </xf>
    <xf numFmtId="0" fontId="11" fillId="3" borderId="20" xfId="0" applyFont="1" applyFill="1" applyBorder="1" applyAlignment="1">
      <alignment horizontal="center" vertical="center"/>
    </xf>
    <xf numFmtId="0" fontId="23" fillId="3" borderId="0" xfId="0" applyFont="1" applyFill="1" applyAlignment="1">
      <alignment horizontal="left" vertical="center"/>
    </xf>
    <xf numFmtId="0" fontId="20" fillId="3" borderId="20" xfId="0" applyFont="1" applyFill="1" applyBorder="1" applyAlignment="1">
      <alignment horizontal="center" vertical="center"/>
    </xf>
    <xf numFmtId="168" fontId="8" fillId="3" borderId="0" xfId="0" applyNumberFormat="1" applyFont="1" applyFill="1" applyAlignment="1">
      <alignment horizontal="left" vertical="center"/>
    </xf>
    <xf numFmtId="170" fontId="23" fillId="0" borderId="0" xfId="0" applyNumberFormat="1" applyFont="1" applyAlignment="1">
      <alignment horizontal="left" vertical="center"/>
    </xf>
    <xf numFmtId="0" fontId="15" fillId="3" borderId="0" xfId="0" applyFont="1" applyFill="1" applyAlignment="1">
      <alignment horizontal="left" vertical="center"/>
    </xf>
    <xf numFmtId="0" fontId="17" fillId="3" borderId="9" xfId="0" applyFont="1" applyFill="1" applyBorder="1" applyAlignment="1">
      <alignment horizontal="left" vertical="center"/>
    </xf>
    <xf numFmtId="0" fontId="47" fillId="5" borderId="8" xfId="0" applyFont="1" applyFill="1" applyBorder="1" applyAlignment="1">
      <alignment horizontal="center" vertical="center"/>
    </xf>
    <xf numFmtId="0" fontId="53" fillId="0" borderId="8" xfId="0" applyFont="1" applyBorder="1"/>
    <xf numFmtId="0" fontId="4" fillId="3" borderId="9" xfId="0" applyFont="1" applyFill="1" applyBorder="1" applyAlignment="1">
      <alignment horizontal="left" vertical="center"/>
    </xf>
    <xf numFmtId="0" fontId="64" fillId="5" borderId="0" xfId="0" applyFont="1" applyFill="1" applyAlignment="1">
      <alignment horizontal="center" vertical="center"/>
    </xf>
    <xf numFmtId="0" fontId="3" fillId="3" borderId="9" xfId="0" applyFont="1" applyFill="1" applyBorder="1" applyAlignment="1">
      <alignment horizontal="left" vertical="center"/>
    </xf>
    <xf numFmtId="0" fontId="47" fillId="0" borderId="0" xfId="0" applyFont="1" applyAlignment="1">
      <alignment horizontal="center" vertical="center"/>
    </xf>
    <xf numFmtId="0" fontId="14" fillId="3" borderId="9" xfId="0" applyFont="1" applyFill="1" applyBorder="1" applyAlignment="1">
      <alignment horizontal="left" vertical="center"/>
    </xf>
    <xf numFmtId="168" fontId="9" fillId="3" borderId="0" xfId="0" applyNumberFormat="1" applyFont="1" applyFill="1" applyAlignment="1">
      <alignment horizontal="left" vertical="center"/>
    </xf>
    <xf numFmtId="0" fontId="54" fillId="6" borderId="34" xfId="0" applyFont="1" applyFill="1" applyBorder="1" applyAlignment="1">
      <alignment horizontal="center" vertical="center" wrapText="1"/>
    </xf>
    <xf numFmtId="0" fontId="54" fillId="0" borderId="20" xfId="0" applyFont="1" applyBorder="1" applyAlignment="1">
      <alignment horizontal="left" vertical="center" wrapText="1"/>
    </xf>
    <xf numFmtId="0" fontId="53" fillId="0" borderId="0" xfId="0" applyFont="1" applyAlignment="1">
      <alignment horizontal="center" vertical="center" wrapText="1"/>
    </xf>
    <xf numFmtId="0" fontId="54" fillId="6" borderId="46" xfId="0" applyFont="1" applyFill="1" applyBorder="1" applyAlignment="1">
      <alignment horizontal="center" vertical="center" wrapText="1"/>
    </xf>
    <xf numFmtId="0" fontId="0" fillId="0" borderId="42" xfId="0" applyBorder="1"/>
    <xf numFmtId="0" fontId="54" fillId="0" borderId="47" xfId="0" applyFont="1" applyBorder="1" applyAlignment="1">
      <alignment horizontal="left" vertical="center" wrapText="1"/>
    </xf>
    <xf numFmtId="0" fontId="0" fillId="0" borderId="36" xfId="0" applyBorder="1"/>
    <xf numFmtId="0" fontId="47" fillId="0" borderId="0" xfId="0" applyFont="1" applyAlignment="1">
      <alignment horizontal="center" vertical="center" wrapText="1"/>
    </xf>
    <xf numFmtId="49" fontId="54" fillId="0" borderId="20" xfId="0" applyNumberFormat="1" applyFont="1" applyBorder="1" applyAlignment="1">
      <alignment horizontal="left" vertical="center" wrapText="1"/>
    </xf>
    <xf numFmtId="49" fontId="54" fillId="0" borderId="10" xfId="0" applyNumberFormat="1" applyFont="1" applyBorder="1" applyAlignment="1">
      <alignment horizontal="left" vertical="center" wrapText="1"/>
    </xf>
    <xf numFmtId="0" fontId="29" fillId="5" borderId="0" xfId="0" applyFont="1" applyFill="1" applyAlignment="1">
      <alignment horizontal="center"/>
    </xf>
    <xf numFmtId="0" fontId="0" fillId="3" borderId="20" xfId="0" applyFill="1" applyBorder="1" applyAlignment="1">
      <alignment horizontal="right"/>
    </xf>
    <xf numFmtId="170" fontId="0" fillId="3" borderId="9" xfId="0" applyNumberFormat="1" applyFill="1" applyBorder="1" applyAlignment="1">
      <alignment horizontal="center"/>
    </xf>
    <xf numFmtId="2" fontId="0" fillId="4" borderId="9" xfId="0" applyNumberFormat="1" applyFill="1" applyBorder="1" applyAlignment="1">
      <alignment horizontal="center"/>
    </xf>
    <xf numFmtId="0" fontId="0" fillId="3" borderId="9" xfId="0" applyFill="1" applyBorder="1" applyAlignment="1">
      <alignment horizontal="center"/>
    </xf>
    <xf numFmtId="0" fontId="0" fillId="0" borderId="0" xfId="0" applyAlignment="1">
      <alignment horizontal="right"/>
    </xf>
    <xf numFmtId="0" fontId="0" fillId="4" borderId="20" xfId="0" applyFill="1" applyBorder="1" applyAlignment="1">
      <alignment horizontal="right"/>
    </xf>
    <xf numFmtId="170" fontId="47" fillId="4" borderId="14" xfId="0" applyNumberFormat="1" applyFont="1" applyFill="1" applyBorder="1" applyAlignment="1">
      <alignment horizontal="center"/>
    </xf>
    <xf numFmtId="0" fontId="0" fillId="0" borderId="0" xfId="0" applyAlignment="1">
      <alignment horizontal="center"/>
    </xf>
    <xf numFmtId="170" fontId="0" fillId="4" borderId="9" xfId="0" applyNumberFormat="1" applyFill="1" applyBorder="1" applyAlignment="1">
      <alignment horizontal="center"/>
    </xf>
    <xf numFmtId="170" fontId="47" fillId="6" borderId="14" xfId="0" applyNumberFormat="1" applyFont="1" applyFill="1" applyBorder="1" applyAlignment="1">
      <alignment horizontal="center"/>
    </xf>
    <xf numFmtId="0" fontId="47" fillId="6" borderId="11" xfId="0" applyFont="1" applyFill="1" applyBorder="1" applyAlignment="1">
      <alignment horizontal="right"/>
    </xf>
    <xf numFmtId="0" fontId="47" fillId="4" borderId="11" xfId="0" applyFont="1" applyFill="1" applyBorder="1" applyAlignment="1">
      <alignment horizontal="right"/>
    </xf>
    <xf numFmtId="2" fontId="0" fillId="3" borderId="9" xfId="3" applyNumberFormat="1" applyFont="1" applyFill="1" applyBorder="1" applyAlignment="1">
      <alignment horizontal="center"/>
    </xf>
    <xf numFmtId="170" fontId="0" fillId="0" borderId="0" xfId="0" applyNumberFormat="1" applyAlignment="1">
      <alignment horizontal="center"/>
    </xf>
    <xf numFmtId="0" fontId="0" fillId="4" borderId="0" xfId="0" applyFill="1" applyAlignment="1">
      <alignment horizontal="center"/>
    </xf>
    <xf numFmtId="0" fontId="29" fillId="5" borderId="0" xfId="0" applyFont="1" applyFill="1" applyAlignment="1">
      <alignment horizontal="center" vertical="center"/>
    </xf>
    <xf numFmtId="10" fontId="0" fillId="0" borderId="0" xfId="3" applyNumberFormat="1" applyFont="1" applyAlignment="1">
      <alignment horizontal="center"/>
    </xf>
    <xf numFmtId="0" fontId="29" fillId="3" borderId="0" xfId="0" applyFont="1" applyFill="1" applyAlignment="1">
      <alignment horizontal="center"/>
    </xf>
    <xf numFmtId="172" fontId="0" fillId="3" borderId="9" xfId="0" applyNumberFormat="1" applyFill="1" applyBorder="1" applyAlignment="1">
      <alignment horizontal="center"/>
    </xf>
    <xf numFmtId="173" fontId="0" fillId="3" borderId="9" xfId="3" applyNumberFormat="1" applyFont="1" applyFill="1" applyBorder="1" applyAlignment="1">
      <alignment horizontal="center"/>
    </xf>
    <xf numFmtId="0" fontId="39" fillId="3" borderId="0" xfId="0" applyFont="1" applyFill="1" applyAlignment="1">
      <alignment horizontal="center"/>
    </xf>
    <xf numFmtId="0" fontId="46" fillId="3" borderId="0" xfId="0" applyFont="1" applyFill="1"/>
    <xf numFmtId="14" fontId="40" fillId="3" borderId="0" xfId="0" applyNumberFormat="1" applyFont="1" applyFill="1" applyAlignment="1" applyProtection="1">
      <alignment horizontal="left"/>
      <protection locked="0"/>
    </xf>
    <xf numFmtId="165" fontId="38" fillId="3" borderId="0" xfId="1" applyFont="1" applyFill="1" applyAlignment="1">
      <alignment horizontal="center"/>
    </xf>
    <xf numFmtId="0" fontId="40" fillId="3" borderId="0" xfId="0" applyFont="1" applyFill="1"/>
    <xf numFmtId="43" fontId="39" fillId="3" borderId="0" xfId="2" applyFont="1" applyFill="1" applyAlignment="1" applyProtection="1">
      <alignment horizontal="center"/>
      <protection locked="0"/>
    </xf>
    <xf numFmtId="43" fontId="45" fillId="3" borderId="0" xfId="2" applyFont="1" applyFill="1" applyAlignment="1">
      <alignment horizontal="center"/>
    </xf>
    <xf numFmtId="0" fontId="45" fillId="3" borderId="0" xfId="0" applyFont="1" applyFill="1"/>
    <xf numFmtId="0" fontId="38" fillId="0" borderId="0" xfId="0" applyFont="1" applyAlignment="1">
      <alignment horizontal="center"/>
    </xf>
    <xf numFmtId="49" fontId="40" fillId="3" borderId="0" xfId="0" applyNumberFormat="1" applyFont="1" applyFill="1" applyAlignment="1">
      <alignment horizontal="center"/>
    </xf>
    <xf numFmtId="165" fontId="40" fillId="3" borderId="0" xfId="0" applyNumberFormat="1" applyFont="1" applyFill="1" applyAlignment="1">
      <alignment horizontal="center"/>
    </xf>
    <xf numFmtId="0" fontId="40" fillId="3" borderId="0" xfId="0" applyFont="1" applyFill="1" applyAlignment="1" applyProtection="1">
      <alignment horizontal="left"/>
      <protection locked="0"/>
    </xf>
    <xf numFmtId="43" fontId="38" fillId="3" borderId="0" xfId="0" applyNumberFormat="1" applyFont="1" applyFill="1" applyAlignment="1">
      <alignment horizontal="center"/>
    </xf>
    <xf numFmtId="14" fontId="40" fillId="3" borderId="0" xfId="0" applyNumberFormat="1" applyFont="1" applyFill="1" applyAlignment="1">
      <alignment horizontal="left"/>
    </xf>
    <xf numFmtId="165" fontId="43" fillId="3" borderId="0" xfId="1" applyFont="1" applyFill="1" applyAlignment="1">
      <alignment horizontal="center"/>
    </xf>
    <xf numFmtId="165" fontId="40" fillId="3" borderId="0" xfId="1" applyFill="1" applyAlignment="1">
      <alignment horizontal="center"/>
    </xf>
    <xf numFmtId="0" fontId="41" fillId="3" borderId="0" xfId="0" applyFont="1" applyFill="1" applyAlignment="1">
      <alignment horizontal="center" vertical="top" wrapText="1"/>
    </xf>
    <xf numFmtId="0" fontId="42" fillId="3" borderId="0" xfId="0" applyFont="1" applyFill="1"/>
    <xf numFmtId="43" fontId="46" fillId="3" borderId="0" xfId="2" applyFont="1" applyFill="1" applyAlignment="1">
      <alignment horizontal="center"/>
    </xf>
    <xf numFmtId="39" fontId="46" fillId="3" borderId="0" xfId="2" applyNumberFormat="1" applyFont="1" applyFill="1" applyAlignment="1">
      <alignment horizontal="right"/>
    </xf>
    <xf numFmtId="0" fontId="31" fillId="3" borderId="0" xfId="0" applyFont="1" applyFill="1" applyAlignment="1">
      <alignment horizontal="center"/>
    </xf>
    <xf numFmtId="17" fontId="45" fillId="3" borderId="0" xfId="0" applyNumberFormat="1" applyFont="1" applyFill="1" applyAlignment="1">
      <alignment horizontal="left"/>
    </xf>
    <xf numFmtId="43" fontId="46" fillId="4" borderId="0" xfId="2" applyFont="1" applyFill="1" applyAlignment="1">
      <alignment horizontal="center"/>
    </xf>
    <xf numFmtId="165" fontId="28" fillId="4" borderId="0" xfId="1" applyFont="1" applyFill="1" applyAlignment="1">
      <alignment horizontal="center"/>
    </xf>
    <xf numFmtId="43" fontId="46" fillId="3" borderId="0" xfId="2" applyFont="1" applyFill="1" applyAlignment="1">
      <alignment horizontal="right"/>
    </xf>
    <xf numFmtId="165" fontId="38" fillId="3" borderId="0" xfId="0" applyNumberFormat="1" applyFont="1" applyFill="1" applyAlignment="1">
      <alignment horizontal="center"/>
    </xf>
    <xf numFmtId="0" fontId="35" fillId="3" borderId="28" xfId="0" applyFont="1" applyFill="1" applyBorder="1" applyAlignment="1">
      <alignment horizontal="center" vertical="center"/>
    </xf>
    <xf numFmtId="0" fontId="0" fillId="0" borderId="22" xfId="0" applyBorder="1"/>
    <xf numFmtId="0" fontId="29" fillId="3" borderId="34" xfId="0" applyFont="1" applyFill="1" applyBorder="1" applyAlignment="1">
      <alignment horizontal="center"/>
    </xf>
    <xf numFmtId="0" fontId="35" fillId="3" borderId="8" xfId="0" applyFont="1" applyFill="1" applyBorder="1" applyAlignment="1">
      <alignment horizontal="center" vertical="justify"/>
    </xf>
    <xf numFmtId="0" fontId="0" fillId="0" borderId="13" xfId="0" applyBorder="1"/>
    <xf numFmtId="0" fontId="35" fillId="3" borderId="21" xfId="0" applyFont="1" applyFill="1" applyBorder="1" applyAlignment="1">
      <alignment horizontal="center" vertical="center"/>
    </xf>
    <xf numFmtId="0" fontId="0" fillId="0" borderId="23" xfId="0" applyBorder="1"/>
    <xf numFmtId="0" fontId="35" fillId="3" borderId="8" xfId="0" applyFont="1" applyFill="1" applyBorder="1" applyAlignment="1">
      <alignment horizontal="center" vertical="center"/>
    </xf>
    <xf numFmtId="0" fontId="35" fillId="3" borderId="14" xfId="0" applyFont="1" applyFill="1" applyBorder="1" applyAlignment="1">
      <alignment horizontal="center" vertical="center"/>
    </xf>
    <xf numFmtId="0" fontId="35" fillId="3" borderId="14" xfId="0" applyFont="1" applyFill="1" applyBorder="1" applyAlignment="1">
      <alignment horizontal="center" vertical="center" wrapText="1"/>
    </xf>
    <xf numFmtId="0" fontId="29" fillId="3" borderId="46" xfId="0" applyFont="1" applyFill="1" applyBorder="1" applyAlignment="1">
      <alignment horizontal="center"/>
    </xf>
    <xf numFmtId="0" fontId="0" fillId="0" borderId="41" xfId="0" applyBorder="1"/>
    <xf numFmtId="0" fontId="29" fillId="3" borderId="51" xfId="0" applyFont="1" applyFill="1" applyBorder="1" applyAlignment="1">
      <alignment horizontal="center"/>
    </xf>
    <xf numFmtId="0" fontId="25" fillId="3" borderId="0" xfId="0" applyFont="1" applyFill="1"/>
    <xf numFmtId="0" fontId="0" fillId="0" borderId="25" xfId="0" applyBorder="1"/>
    <xf numFmtId="0" fontId="34" fillId="3" borderId="50" xfId="0" applyFont="1" applyFill="1" applyBorder="1" applyAlignment="1">
      <alignment horizontal="center"/>
    </xf>
    <xf numFmtId="0" fontId="0" fillId="0" borderId="39" xfId="0" applyBorder="1"/>
    <xf numFmtId="0" fontId="0" fillId="0" borderId="40" xfId="0" applyBorder="1"/>
    <xf numFmtId="0" fontId="25" fillId="0" borderId="8" xfId="0" applyFont="1" applyBorder="1" applyAlignment="1">
      <alignment horizontal="center" vertical="center"/>
    </xf>
    <xf numFmtId="0" fontId="25" fillId="2" borderId="11" xfId="0" applyFont="1" applyFill="1" applyBorder="1" applyAlignment="1">
      <alignment horizontal="center"/>
    </xf>
    <xf numFmtId="0" fontId="34" fillId="3" borderId="0" xfId="0" applyFont="1" applyFill="1" applyAlignment="1">
      <alignment horizontal="center" vertical="top" wrapText="1"/>
    </xf>
    <xf numFmtId="0" fontId="29" fillId="0" borderId="8" xfId="0" applyFont="1" applyBorder="1" applyAlignment="1">
      <alignment horizontal="left"/>
    </xf>
    <xf numFmtId="0" fontId="25" fillId="0" borderId="14" xfId="0" applyFont="1" applyBorder="1" applyAlignment="1">
      <alignment horizontal="center" vertical="center"/>
    </xf>
    <xf numFmtId="0" fontId="70" fillId="9" borderId="0" xfId="0" applyFont="1" applyFill="1" applyAlignment="1">
      <alignment horizontal="center" vertical="center"/>
    </xf>
    <xf numFmtId="0" fontId="70" fillId="10" borderId="0" xfId="0" applyFont="1" applyFill="1" applyAlignment="1">
      <alignment horizontal="center" vertical="center"/>
    </xf>
    <xf numFmtId="0" fontId="24" fillId="9" borderId="0" xfId="0" applyFont="1" applyFill="1"/>
    <xf numFmtId="0" fontId="51" fillId="7" borderId="0" xfId="0" applyFont="1" applyFill="1" applyAlignment="1">
      <alignment horizontal="left"/>
    </xf>
    <xf numFmtId="0" fontId="70" fillId="9" borderId="0" xfId="0" applyFont="1" applyFill="1"/>
    <xf numFmtId="0" fontId="62" fillId="5" borderId="0" xfId="0" applyFont="1" applyFill="1" applyAlignment="1">
      <alignment horizontal="center" vertical="center" wrapText="1"/>
    </xf>
    <xf numFmtId="0" fontId="69" fillId="7" borderId="0" xfId="0" applyFont="1" applyFill="1" applyAlignment="1">
      <alignment vertical="center"/>
    </xf>
    <xf numFmtId="0" fontId="62" fillId="7" borderId="0" xfId="0" applyFont="1" applyFill="1" applyAlignment="1">
      <alignment vertical="center"/>
    </xf>
  </cellXfs>
  <cellStyles count="5">
    <cellStyle name="Hiperlink" xfId="4" builtinId="8"/>
    <cellStyle name="Moeda" xfId="1" builtinId="4"/>
    <cellStyle name="Normal" xfId="0" builtinId="0"/>
    <cellStyle name="Porcentagem" xfId="3" builtinId="5"/>
    <cellStyle name="Vírgula" xfId="2" builtinId="3"/>
  </cellStyles>
  <dxfs count="9">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9</xdr:row>
      <xdr:rowOff>0</xdr:rowOff>
    </xdr:from>
    <xdr:ext cx="5572125" cy="3810000"/>
    <xdr:pic>
      <xdr:nvPicPr>
        <xdr:cNvPr id="2" name="Image 1" descr="Picture">
          <a:extLst>
            <a:ext uri="{FF2B5EF4-FFF2-40B4-BE49-F238E27FC236}">
              <a16:creationId xmlns:a16="http://schemas.microsoft.com/office/drawing/2014/main" id="{00000000-0008-0000-0B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theme/theme1.xml><?xml version="1.0" encoding="utf-8"?>
<a:theme xmlns:a="http://schemas.openxmlformats.org/drawingml/2006/main" name="Tema do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M47"/>
  <sheetViews>
    <sheetView workbookViewId="0">
      <selection activeCell="E7" sqref="E7:M7"/>
    </sheetView>
  </sheetViews>
  <sheetFormatPr defaultRowHeight="12.75"/>
  <sheetData>
    <row r="3" spans="2:13">
      <c r="B3" s="249" t="s">
        <v>0</v>
      </c>
      <c r="C3" s="256"/>
      <c r="D3" s="256"/>
      <c r="E3" s="256"/>
      <c r="F3" s="256"/>
      <c r="G3" s="256"/>
      <c r="H3" s="256"/>
      <c r="I3" s="256"/>
      <c r="J3" s="256"/>
      <c r="K3" s="256"/>
      <c r="L3" s="256"/>
      <c r="M3" s="261"/>
    </row>
    <row r="4" spans="2:13">
      <c r="B4" s="262"/>
      <c r="C4" s="259"/>
      <c r="D4" s="259"/>
      <c r="E4" s="259"/>
      <c r="F4" s="259"/>
      <c r="G4" s="259"/>
      <c r="H4" s="259"/>
      <c r="I4" s="259"/>
      <c r="J4" s="259"/>
      <c r="K4" s="259"/>
      <c r="L4" s="259"/>
      <c r="M4" s="263"/>
    </row>
    <row r="5" spans="2:13" ht="19.5" customHeight="1">
      <c r="B5" s="122"/>
      <c r="C5" s="122"/>
      <c r="D5" s="122"/>
      <c r="E5" s="122"/>
      <c r="F5" s="122"/>
      <c r="G5" s="122"/>
      <c r="H5" s="122"/>
      <c r="I5" s="122"/>
      <c r="J5" s="122"/>
      <c r="K5" s="122"/>
      <c r="L5" s="122"/>
      <c r="M5" s="122"/>
    </row>
    <row r="6" spans="2:13" ht="17.25" customHeight="1">
      <c r="B6" s="105"/>
      <c r="C6" s="106"/>
      <c r="D6" s="106"/>
      <c r="E6" s="106"/>
      <c r="F6" s="106"/>
      <c r="G6" s="106"/>
      <c r="H6" s="106"/>
      <c r="I6" s="106"/>
      <c r="J6" s="106"/>
      <c r="K6" s="106"/>
      <c r="L6" s="106"/>
      <c r="M6" s="107"/>
    </row>
    <row r="7" spans="2:13" ht="17.25" customHeight="1">
      <c r="B7" s="247" t="s">
        <v>1</v>
      </c>
      <c r="C7" s="248"/>
      <c r="D7" s="248"/>
      <c r="E7" s="252"/>
      <c r="F7" s="248"/>
      <c r="G7" s="248"/>
      <c r="H7" s="248"/>
      <c r="I7" s="248"/>
      <c r="J7" s="248"/>
      <c r="K7" s="248"/>
      <c r="L7" s="248"/>
      <c r="M7" s="253"/>
    </row>
    <row r="8" spans="2:13" ht="17.25" customHeight="1">
      <c r="B8" s="247" t="s">
        <v>2</v>
      </c>
      <c r="C8" s="248"/>
      <c r="D8" s="248"/>
      <c r="E8" s="252"/>
      <c r="F8" s="248"/>
      <c r="G8" s="248"/>
      <c r="H8" s="248"/>
      <c r="I8" s="248"/>
      <c r="J8" s="248"/>
      <c r="K8" s="248"/>
      <c r="L8" s="248"/>
      <c r="M8" s="253"/>
    </row>
    <row r="9" spans="2:13" ht="17.25" customHeight="1">
      <c r="B9" s="247" t="s">
        <v>3</v>
      </c>
      <c r="C9" s="248"/>
      <c r="D9" s="248"/>
      <c r="E9" s="252"/>
      <c r="F9" s="248"/>
      <c r="G9" s="248"/>
      <c r="H9" s="248"/>
      <c r="I9" s="248"/>
      <c r="J9" s="248"/>
      <c r="K9" s="248"/>
      <c r="L9" s="248"/>
      <c r="M9" s="253"/>
    </row>
    <row r="10" spans="2:13" ht="17.25" customHeight="1">
      <c r="B10" s="247" t="s">
        <v>4</v>
      </c>
      <c r="C10" s="248"/>
      <c r="D10" s="248"/>
      <c r="E10" s="252"/>
      <c r="F10" s="248"/>
      <c r="G10" s="248"/>
      <c r="H10" s="248"/>
      <c r="I10" s="248"/>
      <c r="J10" s="248"/>
      <c r="K10" s="248"/>
      <c r="L10" s="248"/>
      <c r="M10" s="253"/>
    </row>
    <row r="11" spans="2:13" ht="17.25" customHeight="1">
      <c r="B11" s="247" t="s">
        <v>5</v>
      </c>
      <c r="C11" s="248"/>
      <c r="D11" s="248"/>
      <c r="E11" s="252"/>
      <c r="F11" s="248"/>
      <c r="G11" s="248"/>
      <c r="H11" s="248"/>
      <c r="I11" s="248"/>
      <c r="J11" s="248"/>
      <c r="K11" s="248"/>
      <c r="L11" s="248"/>
      <c r="M11" s="253"/>
    </row>
    <row r="12" spans="2:13" ht="17.25" customHeight="1">
      <c r="B12" s="247" t="s">
        <v>6</v>
      </c>
      <c r="C12" s="248"/>
      <c r="D12" s="248"/>
      <c r="E12" s="252"/>
      <c r="F12" s="248"/>
      <c r="G12" s="248"/>
      <c r="H12" s="248"/>
      <c r="I12" s="248"/>
      <c r="J12" s="248"/>
      <c r="K12" s="248"/>
      <c r="L12" s="248"/>
      <c r="M12" s="253"/>
    </row>
    <row r="13" spans="2:13" ht="17.25" customHeight="1">
      <c r="B13" s="108"/>
      <c r="C13" s="109"/>
      <c r="D13" s="109"/>
      <c r="E13" s="109"/>
      <c r="F13" s="109"/>
      <c r="G13" s="109"/>
      <c r="H13" s="109"/>
      <c r="I13" s="109"/>
      <c r="J13" s="109"/>
      <c r="K13" s="109"/>
      <c r="L13" s="109"/>
      <c r="M13" s="110"/>
    </row>
    <row r="14" spans="2:13" ht="19.5" customHeight="1">
      <c r="B14" s="122"/>
      <c r="C14" s="122"/>
      <c r="D14" s="122"/>
      <c r="E14" s="122"/>
      <c r="F14" s="122"/>
      <c r="G14" s="122"/>
      <c r="H14" s="122"/>
      <c r="I14" s="122"/>
      <c r="J14" s="122"/>
      <c r="K14" s="122"/>
      <c r="L14" s="122"/>
      <c r="M14" s="122"/>
    </row>
    <row r="15" spans="2:13" ht="19.5" customHeight="1">
      <c r="B15" s="122"/>
      <c r="C15" s="122"/>
      <c r="D15" s="122"/>
      <c r="E15" s="122"/>
      <c r="F15" s="122"/>
      <c r="G15" s="122"/>
      <c r="H15" s="122"/>
      <c r="I15" s="122"/>
      <c r="J15" s="122"/>
      <c r="K15" s="122"/>
      <c r="L15" s="122"/>
      <c r="M15" s="122"/>
    </row>
    <row r="16" spans="2:13" ht="19.5" customHeight="1">
      <c r="B16" s="122"/>
      <c r="C16" s="122"/>
      <c r="D16" s="122"/>
      <c r="E16" s="122"/>
      <c r="F16" s="122"/>
      <c r="G16" s="122"/>
      <c r="H16" s="122"/>
      <c r="I16" s="122"/>
      <c r="J16" s="122"/>
      <c r="K16" s="122"/>
      <c r="L16" s="122"/>
      <c r="M16" s="122"/>
    </row>
    <row r="17" spans="2:13" ht="20.25" customHeight="1">
      <c r="B17" s="254" t="s">
        <v>7</v>
      </c>
      <c r="C17" s="248"/>
      <c r="D17" s="248"/>
      <c r="E17" s="248"/>
      <c r="F17" s="248"/>
      <c r="G17" s="248"/>
      <c r="H17" s="248"/>
      <c r="I17" s="248"/>
      <c r="J17" s="248"/>
      <c r="K17" s="248"/>
      <c r="L17" s="248"/>
      <c r="M17" s="248"/>
    </row>
    <row r="18" spans="2:13" ht="19.5" customHeight="1">
      <c r="B18" s="111"/>
      <c r="C18" s="111"/>
      <c r="D18" s="111"/>
      <c r="E18" s="111"/>
      <c r="F18" s="111"/>
      <c r="G18" s="111"/>
      <c r="H18" s="111"/>
      <c r="I18" s="111"/>
      <c r="J18" s="111"/>
      <c r="K18" s="111"/>
      <c r="L18" s="111"/>
      <c r="M18" s="111"/>
    </row>
    <row r="19" spans="2:13" ht="17.25" customHeight="1">
      <c r="B19" s="255" t="s">
        <v>1</v>
      </c>
      <c r="C19" s="256"/>
      <c r="D19" s="256"/>
      <c r="E19" s="260"/>
      <c r="F19" s="256"/>
      <c r="G19" s="256"/>
      <c r="H19" s="256"/>
      <c r="I19" s="256"/>
      <c r="J19" s="256"/>
      <c r="K19" s="256"/>
      <c r="L19" s="256"/>
      <c r="M19" s="261"/>
    </row>
    <row r="20" spans="2:13" ht="17.25" customHeight="1">
      <c r="B20" s="247" t="s">
        <v>3</v>
      </c>
      <c r="C20" s="248"/>
      <c r="D20" s="248"/>
      <c r="E20" s="252"/>
      <c r="F20" s="248"/>
      <c r="G20" s="248"/>
      <c r="H20" s="248"/>
      <c r="I20" s="248"/>
      <c r="J20" s="248"/>
      <c r="K20" s="248"/>
      <c r="L20" s="248"/>
      <c r="M20" s="253"/>
    </row>
    <row r="21" spans="2:13" ht="17.25" customHeight="1">
      <c r="B21" s="247" t="s">
        <v>8</v>
      </c>
      <c r="C21" s="248"/>
      <c r="D21" s="248"/>
      <c r="E21" s="252"/>
      <c r="F21" s="248"/>
      <c r="G21" s="248"/>
      <c r="H21" s="248"/>
      <c r="I21" s="248"/>
      <c r="J21" s="248"/>
      <c r="K21" s="248"/>
      <c r="L21" s="248"/>
      <c r="M21" s="253"/>
    </row>
    <row r="22" spans="2:13" ht="17.25" customHeight="1">
      <c r="B22" s="270" t="s">
        <v>9</v>
      </c>
      <c r="C22" s="259"/>
      <c r="D22" s="259"/>
      <c r="E22" s="264"/>
      <c r="F22" s="259"/>
      <c r="G22" s="259"/>
      <c r="H22" s="259"/>
      <c r="I22" s="259"/>
      <c r="J22" s="259"/>
      <c r="K22" s="112"/>
      <c r="L22" s="268"/>
      <c r="M22" s="263"/>
    </row>
    <row r="23" spans="2:13" ht="20.25" customHeight="1">
      <c r="B23" s="249" t="s">
        <v>10</v>
      </c>
      <c r="C23" s="250"/>
      <c r="D23" s="250"/>
      <c r="E23" s="250"/>
      <c r="F23" s="250"/>
      <c r="G23" s="250"/>
      <c r="H23" s="250"/>
      <c r="I23" s="250"/>
      <c r="J23" s="250"/>
      <c r="K23" s="250"/>
      <c r="L23" s="250"/>
      <c r="M23" s="251"/>
    </row>
    <row r="24" spans="2:13" ht="15" customHeight="1">
      <c r="B24" s="257" t="s">
        <v>11</v>
      </c>
      <c r="C24" s="250"/>
      <c r="D24" s="251"/>
      <c r="E24" s="257" t="s">
        <v>12</v>
      </c>
      <c r="F24" s="250"/>
      <c r="G24" s="251"/>
      <c r="H24" s="257" t="s">
        <v>13</v>
      </c>
      <c r="I24" s="250"/>
      <c r="J24" s="251"/>
      <c r="K24" s="257" t="s">
        <v>14</v>
      </c>
      <c r="L24" s="250"/>
      <c r="M24" s="251"/>
    </row>
    <row r="25" spans="2:13" ht="17.25" customHeight="1">
      <c r="B25" s="267"/>
      <c r="C25" s="256"/>
      <c r="D25" s="261"/>
      <c r="E25" s="276"/>
      <c r="F25" s="248"/>
      <c r="G25" s="248"/>
      <c r="H25" s="274"/>
      <c r="I25" s="256"/>
      <c r="J25" s="261"/>
      <c r="K25" s="269"/>
      <c r="L25" s="256"/>
      <c r="M25" s="261"/>
    </row>
    <row r="26" spans="2:13" ht="17.25" customHeight="1">
      <c r="B26" s="265"/>
      <c r="C26" s="259"/>
      <c r="D26" s="263"/>
      <c r="E26" s="258"/>
      <c r="F26" s="259"/>
      <c r="G26" s="259"/>
      <c r="H26" s="266"/>
      <c r="I26" s="259"/>
      <c r="J26" s="263"/>
      <c r="K26" s="271"/>
      <c r="L26" s="259"/>
      <c r="M26" s="263"/>
    </row>
    <row r="27" spans="2:13" ht="20.25" customHeight="1">
      <c r="B27" s="249" t="s">
        <v>15</v>
      </c>
      <c r="C27" s="250"/>
      <c r="D27" s="250"/>
      <c r="E27" s="250"/>
      <c r="F27" s="250"/>
      <c r="G27" s="250"/>
      <c r="H27" s="250"/>
      <c r="I27" s="250"/>
      <c r="J27" s="250"/>
      <c r="K27" s="250"/>
      <c r="L27" s="250"/>
      <c r="M27" s="251"/>
    </row>
    <row r="28" spans="2:13" ht="17.25" customHeight="1">
      <c r="B28" s="113"/>
      <c r="C28" s="114"/>
      <c r="D28" s="114"/>
      <c r="E28" s="114"/>
      <c r="F28" s="114"/>
      <c r="G28" s="114"/>
      <c r="H28" s="114"/>
      <c r="I28" s="114"/>
      <c r="J28" s="114"/>
      <c r="K28" s="114"/>
      <c r="L28" s="114"/>
      <c r="M28" s="115"/>
    </row>
    <row r="29" spans="2:13" ht="17.25" customHeight="1">
      <c r="B29" s="116"/>
      <c r="C29" s="117"/>
      <c r="D29" s="117"/>
      <c r="E29" s="117"/>
      <c r="F29" s="117"/>
      <c r="G29" s="117"/>
      <c r="H29" s="117"/>
      <c r="I29" s="117"/>
      <c r="J29" s="117"/>
      <c r="K29" s="117"/>
      <c r="L29" s="117"/>
      <c r="M29" s="118"/>
    </row>
    <row r="30" spans="2:13" ht="17.25" customHeight="1">
      <c r="B30" s="116"/>
      <c r="C30" s="117"/>
      <c r="D30" s="117"/>
      <c r="E30" s="117"/>
      <c r="F30" s="117"/>
      <c r="G30" s="117"/>
      <c r="H30" s="117"/>
      <c r="I30" s="117"/>
      <c r="J30" s="117"/>
      <c r="K30" s="117"/>
      <c r="L30" s="117"/>
      <c r="M30" s="118"/>
    </row>
    <row r="31" spans="2:13" ht="17.25" customHeight="1">
      <c r="B31" s="116"/>
      <c r="C31" s="117"/>
      <c r="D31" s="117"/>
      <c r="E31" s="117"/>
      <c r="F31" s="117"/>
      <c r="G31" s="117"/>
      <c r="H31" s="117"/>
      <c r="I31" s="117"/>
      <c r="J31" s="117"/>
      <c r="K31" s="117"/>
      <c r="L31" s="117"/>
      <c r="M31" s="118"/>
    </row>
    <row r="32" spans="2:13" ht="17.25" customHeight="1">
      <c r="B32" s="116"/>
      <c r="C32" s="117"/>
      <c r="D32" s="117"/>
      <c r="E32" s="117"/>
      <c r="F32" s="117"/>
      <c r="G32" s="117"/>
      <c r="H32" s="117"/>
      <c r="I32" s="117"/>
      <c r="J32" s="117"/>
      <c r="K32" s="117"/>
      <c r="L32" s="117"/>
      <c r="M32" s="118"/>
    </row>
    <row r="33" spans="2:13" ht="17.25" customHeight="1">
      <c r="B33" s="119"/>
      <c r="C33" s="120"/>
      <c r="D33" s="120"/>
      <c r="E33" s="120"/>
      <c r="F33" s="120"/>
      <c r="G33" s="120"/>
      <c r="H33" s="120"/>
      <c r="I33" s="120"/>
      <c r="J33" s="120"/>
      <c r="K33" s="120"/>
      <c r="L33" s="120"/>
      <c r="M33" s="121"/>
    </row>
    <row r="34" spans="2:13" ht="20.25" customHeight="1">
      <c r="B34" s="249" t="s">
        <v>16</v>
      </c>
      <c r="C34" s="250"/>
      <c r="D34" s="250"/>
      <c r="E34" s="250"/>
      <c r="F34" s="250"/>
      <c r="G34" s="250"/>
      <c r="H34" s="250"/>
      <c r="I34" s="250"/>
      <c r="J34" s="250"/>
      <c r="K34" s="250"/>
      <c r="L34" s="250"/>
      <c r="M34" s="251"/>
    </row>
    <row r="35" spans="2:13" ht="15" customHeight="1">
      <c r="B35" s="257" t="s">
        <v>17</v>
      </c>
      <c r="C35" s="250"/>
      <c r="D35" s="250"/>
      <c r="E35" s="251"/>
      <c r="F35" s="257" t="s">
        <v>18</v>
      </c>
      <c r="G35" s="250"/>
      <c r="H35" s="250"/>
      <c r="I35" s="251"/>
      <c r="J35" s="257" t="s">
        <v>19</v>
      </c>
      <c r="K35" s="250"/>
      <c r="L35" s="250"/>
      <c r="M35" s="251"/>
    </row>
    <row r="36" spans="2:13" ht="15" customHeight="1">
      <c r="B36" s="280"/>
      <c r="C36" s="256"/>
      <c r="D36" s="256"/>
      <c r="E36" s="256"/>
      <c r="F36" s="281"/>
      <c r="G36" s="256"/>
      <c r="H36" s="256"/>
      <c r="I36" s="256"/>
      <c r="J36" s="282"/>
      <c r="K36" s="256"/>
      <c r="L36" s="256"/>
      <c r="M36" s="261"/>
    </row>
    <row r="37" spans="2:13" ht="15" customHeight="1">
      <c r="B37" s="273"/>
      <c r="C37" s="248"/>
      <c r="D37" s="248"/>
      <c r="E37" s="248"/>
      <c r="F37" s="279"/>
      <c r="G37" s="248"/>
      <c r="H37" s="248"/>
      <c r="I37" s="248"/>
      <c r="J37" s="277"/>
      <c r="K37" s="248"/>
      <c r="L37" s="248"/>
      <c r="M37" s="253"/>
    </row>
    <row r="38" spans="2:13" ht="15" customHeight="1">
      <c r="B38" s="278" t="s">
        <v>20</v>
      </c>
      <c r="C38" s="259"/>
      <c r="D38" s="259"/>
      <c r="E38" s="259"/>
      <c r="F38" s="272"/>
      <c r="G38" s="259"/>
      <c r="H38" s="259"/>
      <c r="I38" s="259"/>
      <c r="J38" s="275"/>
      <c r="K38" s="259"/>
      <c r="L38" s="259"/>
      <c r="M38" s="263"/>
    </row>
    <row r="39" spans="2:13" ht="20.25" customHeight="1">
      <c r="B39" s="249" t="s">
        <v>21</v>
      </c>
      <c r="C39" s="250"/>
      <c r="D39" s="250"/>
      <c r="E39" s="250"/>
      <c r="F39" s="250"/>
      <c r="G39" s="250"/>
      <c r="H39" s="250"/>
      <c r="I39" s="250"/>
      <c r="J39" s="250"/>
      <c r="K39" s="250"/>
      <c r="L39" s="250"/>
      <c r="M39" s="251"/>
    </row>
    <row r="40" spans="2:13" ht="19.5" customHeight="1">
      <c r="B40" s="122"/>
      <c r="C40" s="122"/>
      <c r="D40" s="122"/>
      <c r="E40" s="122"/>
      <c r="F40" s="122"/>
      <c r="G40" s="122"/>
      <c r="H40" s="122"/>
      <c r="I40" s="122"/>
      <c r="J40" s="122"/>
      <c r="K40" s="122"/>
      <c r="L40" s="122"/>
      <c r="M40" s="122"/>
    </row>
    <row r="41" spans="2:13" ht="19.5" customHeight="1">
      <c r="B41" s="122"/>
      <c r="C41" s="122"/>
      <c r="D41" s="122"/>
      <c r="E41" s="122"/>
      <c r="F41" s="122"/>
      <c r="G41" s="122"/>
      <c r="H41" s="122"/>
      <c r="I41" s="122"/>
      <c r="J41" s="122"/>
      <c r="K41" s="122"/>
      <c r="L41" s="122"/>
      <c r="M41" s="122"/>
    </row>
    <row r="42" spans="2:13" ht="19.5" customHeight="1">
      <c r="B42" s="122"/>
      <c r="C42" s="122"/>
      <c r="D42" s="122"/>
      <c r="E42" s="122"/>
      <c r="F42" s="122"/>
      <c r="G42" s="122"/>
      <c r="H42" s="122"/>
      <c r="I42" s="122"/>
      <c r="J42" s="122"/>
      <c r="K42" s="122"/>
      <c r="L42" s="122"/>
      <c r="M42" s="122"/>
    </row>
    <row r="43" spans="2:13" ht="19.5" customHeight="1">
      <c r="B43" s="122"/>
      <c r="C43" s="122"/>
      <c r="D43" s="122"/>
      <c r="E43" s="122"/>
      <c r="F43" s="122"/>
      <c r="G43" s="122"/>
      <c r="H43" s="122"/>
      <c r="I43" s="122"/>
      <c r="J43" s="122"/>
      <c r="K43" s="122"/>
      <c r="L43" s="122"/>
      <c r="M43" s="122"/>
    </row>
    <row r="44" spans="2:13" ht="19.5" customHeight="1">
      <c r="B44" s="122"/>
      <c r="C44" s="122"/>
      <c r="D44" s="122"/>
      <c r="E44" s="122"/>
      <c r="F44" s="122"/>
      <c r="G44" s="122"/>
      <c r="H44" s="122"/>
      <c r="I44" s="122"/>
      <c r="J44" s="122"/>
      <c r="K44" s="122"/>
      <c r="L44" s="122"/>
      <c r="M44" s="122"/>
    </row>
    <row r="45" spans="2:13" ht="19.5" customHeight="1">
      <c r="B45" s="122"/>
      <c r="C45" s="122"/>
      <c r="D45" s="122"/>
      <c r="E45" s="122"/>
      <c r="F45" s="122"/>
      <c r="G45" s="122"/>
      <c r="H45" s="122"/>
      <c r="I45" s="122"/>
      <c r="J45" s="122"/>
      <c r="K45" s="122"/>
      <c r="L45" s="122"/>
      <c r="M45" s="122"/>
    </row>
    <row r="46" spans="2:13" ht="19.5" customHeight="1">
      <c r="B46" s="122"/>
      <c r="C46" s="122"/>
      <c r="D46" s="122"/>
      <c r="E46" s="122"/>
      <c r="F46" s="122"/>
      <c r="G46" s="122"/>
      <c r="H46" s="122"/>
      <c r="I46" s="122"/>
      <c r="J46" s="122"/>
      <c r="K46" s="122"/>
      <c r="L46" s="122"/>
      <c r="M46" s="122"/>
    </row>
    <row r="47" spans="2:13" ht="19.5" customHeight="1">
      <c r="B47" s="122"/>
      <c r="C47" s="122"/>
      <c r="D47" s="122"/>
      <c r="E47" s="122"/>
      <c r="F47" s="122"/>
      <c r="G47" s="122"/>
      <c r="H47" s="122"/>
      <c r="I47" s="122"/>
      <c r="J47" s="122"/>
      <c r="K47" s="122"/>
      <c r="L47" s="122"/>
      <c r="M47" s="122"/>
    </row>
  </sheetData>
  <mergeCells count="51">
    <mergeCell ref="B39:M39"/>
    <mergeCell ref="F38:I38"/>
    <mergeCell ref="B21:D21"/>
    <mergeCell ref="B27:M27"/>
    <mergeCell ref="B37:E37"/>
    <mergeCell ref="H25:J25"/>
    <mergeCell ref="J38:M38"/>
    <mergeCell ref="B24:D24"/>
    <mergeCell ref="E25:G25"/>
    <mergeCell ref="J37:M37"/>
    <mergeCell ref="B38:E38"/>
    <mergeCell ref="F37:I37"/>
    <mergeCell ref="B36:E36"/>
    <mergeCell ref="F36:I36"/>
    <mergeCell ref="J36:M36"/>
    <mergeCell ref="B34:M34"/>
    <mergeCell ref="B3:M4"/>
    <mergeCell ref="E7:M7"/>
    <mergeCell ref="H24:J24"/>
    <mergeCell ref="E22:J22"/>
    <mergeCell ref="B26:D26"/>
    <mergeCell ref="H26:J26"/>
    <mergeCell ref="E21:M21"/>
    <mergeCell ref="B25:D25"/>
    <mergeCell ref="E12:M12"/>
    <mergeCell ref="L22:M22"/>
    <mergeCell ref="K25:M25"/>
    <mergeCell ref="B7:D7"/>
    <mergeCell ref="E24:G24"/>
    <mergeCell ref="K24:M24"/>
    <mergeCell ref="B22:D22"/>
    <mergeCell ref="K26:M26"/>
    <mergeCell ref="B35:E35"/>
    <mergeCell ref="E11:M11"/>
    <mergeCell ref="E26:G26"/>
    <mergeCell ref="B12:D12"/>
    <mergeCell ref="B11:D11"/>
    <mergeCell ref="E19:M19"/>
    <mergeCell ref="B20:D20"/>
    <mergeCell ref="F35:I35"/>
    <mergeCell ref="J35:M35"/>
    <mergeCell ref="B8:D8"/>
    <mergeCell ref="B23:M23"/>
    <mergeCell ref="E8:M8"/>
    <mergeCell ref="B17:M17"/>
    <mergeCell ref="E9:M9"/>
    <mergeCell ref="B9:D9"/>
    <mergeCell ref="E20:M20"/>
    <mergeCell ref="B10:D10"/>
    <mergeCell ref="E10:M10"/>
    <mergeCell ref="B19:D19"/>
  </mergeCells>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D8:L47"/>
  <sheetViews>
    <sheetView topLeftCell="A10" workbookViewId="0">
      <selection activeCell="D36" sqref="D36"/>
    </sheetView>
  </sheetViews>
  <sheetFormatPr defaultColWidth="9.140625" defaultRowHeight="12.75"/>
  <cols>
    <col min="1" max="3" width="9.140625" style="152" customWidth="1"/>
    <col min="4" max="4" width="29.85546875" style="152" customWidth="1"/>
    <col min="5" max="5" width="20" style="152" customWidth="1"/>
    <col min="6" max="6" width="11.85546875" style="152" customWidth="1"/>
    <col min="7" max="7" width="9.140625" style="152"/>
    <col min="8" max="8" width="21" style="152" customWidth="1"/>
    <col min="9" max="9" width="16.42578125" style="152" customWidth="1"/>
    <col min="10" max="10" width="12.7109375" style="152" customWidth="1"/>
    <col min="11" max="11" width="10.42578125" style="152" customWidth="1"/>
    <col min="12" max="16384" width="9.140625" style="152"/>
  </cols>
  <sheetData>
    <row r="8" spans="4:5" ht="13.5" customHeight="1" thickBot="1"/>
    <row r="9" spans="4:5" ht="15.75" customHeight="1" thickBot="1">
      <c r="D9" s="161" t="s">
        <v>22</v>
      </c>
      <c r="E9" s="162" t="s">
        <v>23</v>
      </c>
    </row>
    <row r="10" spans="4:5" ht="15" customHeight="1">
      <c r="D10" s="154" t="s">
        <v>24</v>
      </c>
      <c r="E10" s="155">
        <v>1.2</v>
      </c>
    </row>
    <row r="11" spans="4:5" ht="15" customHeight="1">
      <c r="D11" s="154" t="s">
        <v>25</v>
      </c>
      <c r="E11" s="155">
        <v>1.1000000000000001</v>
      </c>
    </row>
    <row r="12" spans="4:5" ht="15" customHeight="1">
      <c r="D12" s="154" t="s">
        <v>26</v>
      </c>
      <c r="E12" s="155">
        <v>1</v>
      </c>
    </row>
    <row r="13" spans="4:5" ht="15" customHeight="1">
      <c r="D13" s="156" t="s">
        <v>27</v>
      </c>
      <c r="E13" s="155">
        <v>0.9</v>
      </c>
    </row>
    <row r="14" spans="4:5" ht="15" customHeight="1">
      <c r="D14" s="154" t="s">
        <v>28</v>
      </c>
      <c r="E14" s="155">
        <v>0.8</v>
      </c>
    </row>
    <row r="15" spans="4:5" ht="15.75" customHeight="1" thickBot="1">
      <c r="D15" s="157" t="s">
        <v>29</v>
      </c>
      <c r="E15" s="158">
        <v>0.7</v>
      </c>
    </row>
    <row r="17" spans="4:12">
      <c r="D17" s="159" t="s">
        <v>30</v>
      </c>
    </row>
    <row r="18" spans="4:12">
      <c r="D18" s="159" t="s">
        <v>31</v>
      </c>
    </row>
    <row r="21" spans="4:12" ht="15" customHeight="1">
      <c r="D21" s="160" t="s">
        <v>32</v>
      </c>
      <c r="E21" s="160" t="s">
        <v>33</v>
      </c>
      <c r="H21" s="285" t="s">
        <v>305</v>
      </c>
      <c r="I21" s="285"/>
      <c r="J21" s="285"/>
      <c r="K21" s="285"/>
      <c r="L21" s="285"/>
    </row>
    <row r="22" spans="4:12" ht="15" customHeight="1">
      <c r="D22" s="153" t="s">
        <v>34</v>
      </c>
      <c r="E22" s="123">
        <v>1.2</v>
      </c>
      <c r="H22" s="286" t="s">
        <v>306</v>
      </c>
      <c r="I22" s="286" t="s">
        <v>307</v>
      </c>
      <c r="J22" s="286"/>
      <c r="K22" s="286"/>
      <c r="L22" s="286"/>
    </row>
    <row r="23" spans="4:12" ht="15" customHeight="1">
      <c r="D23" s="153" t="s">
        <v>35</v>
      </c>
      <c r="E23" s="123">
        <v>1.1000000000000001</v>
      </c>
      <c r="H23" s="286"/>
      <c r="I23" s="242" t="s">
        <v>308</v>
      </c>
      <c r="J23" s="242" t="s">
        <v>309</v>
      </c>
      <c r="K23" s="242" t="s">
        <v>310</v>
      </c>
      <c r="L23" s="242" t="s">
        <v>311</v>
      </c>
    </row>
    <row r="24" spans="4:12" ht="15" customHeight="1">
      <c r="D24" s="153" t="s">
        <v>36</v>
      </c>
      <c r="E24" s="123">
        <v>1</v>
      </c>
      <c r="H24" s="243" t="s">
        <v>312</v>
      </c>
      <c r="I24" s="244">
        <v>1</v>
      </c>
      <c r="J24" s="244">
        <v>0.75</v>
      </c>
      <c r="K24" s="244">
        <v>0.5</v>
      </c>
      <c r="L24" s="244">
        <v>0.2</v>
      </c>
    </row>
    <row r="25" spans="4:12" ht="15" customHeight="1">
      <c r="D25" s="153" t="s">
        <v>37</v>
      </c>
      <c r="E25" s="123">
        <v>0.9</v>
      </c>
      <c r="H25" s="243" t="s">
        <v>97</v>
      </c>
      <c r="I25" s="244">
        <v>0.8</v>
      </c>
      <c r="J25" s="244">
        <v>0.6</v>
      </c>
      <c r="K25" s="244">
        <v>0.4</v>
      </c>
      <c r="L25" s="244">
        <v>0.16</v>
      </c>
    </row>
    <row r="26" spans="4:12" ht="15" customHeight="1">
      <c r="D26" s="153" t="s">
        <v>38</v>
      </c>
      <c r="E26" s="123">
        <v>0.8</v>
      </c>
      <c r="H26" s="243" t="s">
        <v>313</v>
      </c>
      <c r="I26" s="244">
        <v>0.6</v>
      </c>
      <c r="J26" s="244">
        <v>0.45</v>
      </c>
      <c r="K26" s="244">
        <v>0.3</v>
      </c>
      <c r="L26" s="244">
        <v>0.12</v>
      </c>
    </row>
    <row r="27" spans="4:12" ht="15" customHeight="1">
      <c r="D27" s="153" t="s">
        <v>39</v>
      </c>
      <c r="E27" s="123">
        <v>0.7</v>
      </c>
      <c r="H27" s="243" t="s">
        <v>314</v>
      </c>
      <c r="I27" s="244">
        <v>0.4</v>
      </c>
      <c r="J27" s="244">
        <v>0.3</v>
      </c>
      <c r="K27" s="244">
        <v>0.2</v>
      </c>
      <c r="L27" s="244">
        <v>0.08</v>
      </c>
    </row>
    <row r="28" spans="4:12" ht="15">
      <c r="H28" s="243" t="s">
        <v>315</v>
      </c>
      <c r="I28" s="244">
        <v>0.2</v>
      </c>
      <c r="J28" s="244">
        <v>0.15</v>
      </c>
      <c r="K28" s="244">
        <v>0.1</v>
      </c>
      <c r="L28" s="244">
        <v>0.04</v>
      </c>
    </row>
    <row r="32" spans="4:12" ht="15" customHeight="1">
      <c r="D32" s="283" t="s">
        <v>40</v>
      </c>
      <c r="E32" s="193" t="s">
        <v>41</v>
      </c>
      <c r="F32" s="193"/>
      <c r="G32" s="193"/>
    </row>
    <row r="33" spans="4:7" ht="30" customHeight="1">
      <c r="D33" s="284"/>
      <c r="E33" s="194" t="s">
        <v>42</v>
      </c>
      <c r="F33" s="194" t="s">
        <v>43</v>
      </c>
      <c r="G33" s="194" t="s">
        <v>33</v>
      </c>
    </row>
    <row r="34" spans="4:7" ht="45" customHeight="1">
      <c r="D34" s="195" t="s">
        <v>44</v>
      </c>
      <c r="E34" s="195" t="s">
        <v>45</v>
      </c>
      <c r="F34" s="195" t="s">
        <v>46</v>
      </c>
      <c r="G34" s="196">
        <v>1.2</v>
      </c>
    </row>
    <row r="35" spans="4:7" ht="60" customHeight="1">
      <c r="D35" s="195" t="s">
        <v>47</v>
      </c>
      <c r="E35" s="195" t="s">
        <v>48</v>
      </c>
      <c r="F35" s="195" t="s">
        <v>46</v>
      </c>
      <c r="G35" s="196">
        <v>1.1000000000000001</v>
      </c>
    </row>
    <row r="36" spans="4:7" ht="30" customHeight="1">
      <c r="D36" s="195" t="s">
        <v>49</v>
      </c>
      <c r="E36" s="195" t="s">
        <v>50</v>
      </c>
      <c r="F36" s="195" t="s">
        <v>46</v>
      </c>
      <c r="G36" s="196">
        <v>1</v>
      </c>
    </row>
    <row r="37" spans="4:7" ht="75" customHeight="1">
      <c r="D37" s="195" t="s">
        <v>51</v>
      </c>
      <c r="E37" s="195" t="s">
        <v>52</v>
      </c>
      <c r="F37" s="195" t="s">
        <v>53</v>
      </c>
      <c r="G37" s="196">
        <v>0.9</v>
      </c>
    </row>
    <row r="38" spans="4:7" ht="45" customHeight="1">
      <c r="D38" s="195" t="s">
        <v>54</v>
      </c>
      <c r="E38" s="195" t="s">
        <v>55</v>
      </c>
      <c r="F38" s="195"/>
      <c r="G38" s="196">
        <v>0.8</v>
      </c>
    </row>
    <row r="39" spans="4:7" ht="60" customHeight="1">
      <c r="D39" s="195" t="s">
        <v>56</v>
      </c>
      <c r="E39" s="195" t="s">
        <v>57</v>
      </c>
      <c r="F39" s="195" t="s">
        <v>58</v>
      </c>
      <c r="G39" s="196">
        <v>0.7</v>
      </c>
    </row>
    <row r="40" spans="4:7" ht="15" customHeight="1"/>
    <row r="41" spans="4:7" ht="13.5" customHeight="1"/>
    <row r="42" spans="4:7" ht="45" customHeight="1"/>
    <row r="44" spans="4:7" ht="30" customHeight="1"/>
    <row r="45" spans="4:7" ht="76.5" customHeight="1"/>
    <row r="46" spans="4:7" ht="44.25" customHeight="1"/>
    <row r="47" spans="4:7" ht="64.5" customHeight="1"/>
  </sheetData>
  <mergeCells count="4">
    <mergeCell ref="D32:D33"/>
    <mergeCell ref="H21:L21"/>
    <mergeCell ref="H22:H23"/>
    <mergeCell ref="I22:L22"/>
  </mergeCells>
  <pageMargins left="0.511811024" right="0.511811024" top="0.78740157499999996" bottom="0.78740157499999996" header="0.31496062000000002" footer="0.31496062000000002"/>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5"/>
  <sheetViews>
    <sheetView topLeftCell="A10" workbookViewId="0">
      <selection activeCell="J21" sqref="J21"/>
    </sheetView>
  </sheetViews>
  <sheetFormatPr defaultRowHeight="12.75"/>
  <cols>
    <col min="1" max="1" width="12.42578125" customWidth="1"/>
    <col min="2" max="2" width="68.28515625" customWidth="1"/>
    <col min="5" max="5" width="20.28515625" customWidth="1"/>
    <col min="6" max="6" width="14.5703125" customWidth="1"/>
    <col min="7" max="7" width="11" customWidth="1"/>
    <col min="8" max="8" width="11.7109375" customWidth="1"/>
    <col min="9" max="9" width="12.5703125" customWidth="1"/>
  </cols>
  <sheetData>
    <row r="1" spans="1:3" ht="30" customHeight="1">
      <c r="A1" s="246" t="s">
        <v>316</v>
      </c>
      <c r="B1" s="246" t="s">
        <v>317</v>
      </c>
      <c r="C1" s="246" t="s">
        <v>33</v>
      </c>
    </row>
    <row r="2" spans="1:3" ht="24" customHeight="1">
      <c r="A2" s="287" t="s">
        <v>318</v>
      </c>
      <c r="B2" s="288" t="s">
        <v>319</v>
      </c>
      <c r="C2" s="289">
        <v>1.3</v>
      </c>
    </row>
    <row r="3" spans="1:3" ht="12.75" customHeight="1">
      <c r="A3" s="287"/>
      <c r="B3" s="288"/>
      <c r="C3" s="289"/>
    </row>
    <row r="4" spans="1:3" ht="27.75" customHeight="1">
      <c r="A4" s="287" t="s">
        <v>320</v>
      </c>
      <c r="B4" s="288" t="s">
        <v>321</v>
      </c>
      <c r="C4" s="289">
        <v>1.2</v>
      </c>
    </row>
    <row r="5" spans="1:3" ht="12.75" customHeight="1">
      <c r="A5" s="287"/>
      <c r="B5" s="288"/>
      <c r="C5" s="289"/>
    </row>
    <row r="6" spans="1:3" ht="28.5" customHeight="1">
      <c r="A6" s="287" t="s">
        <v>322</v>
      </c>
      <c r="B6" s="288" t="s">
        <v>323</v>
      </c>
      <c r="C6" s="289">
        <v>1.1000000000000001</v>
      </c>
    </row>
    <row r="7" spans="1:3" ht="12.75" customHeight="1">
      <c r="A7" s="287"/>
      <c r="B7" s="288"/>
      <c r="C7" s="289"/>
    </row>
    <row r="8" spans="1:3" ht="44.25" customHeight="1">
      <c r="A8" s="287" t="s">
        <v>106</v>
      </c>
      <c r="B8" s="288" t="s">
        <v>324</v>
      </c>
      <c r="C8" s="289">
        <v>1</v>
      </c>
    </row>
    <row r="9" spans="1:3" ht="12.75" customHeight="1">
      <c r="A9" s="287"/>
      <c r="B9" s="288"/>
      <c r="C9" s="289"/>
    </row>
    <row r="10" spans="1:3" ht="47.25" customHeight="1">
      <c r="A10" s="287" t="s">
        <v>130</v>
      </c>
      <c r="B10" s="288" t="s">
        <v>325</v>
      </c>
      <c r="C10" s="289">
        <v>0.9</v>
      </c>
    </row>
    <row r="11" spans="1:3" ht="12.75" customHeight="1">
      <c r="A11" s="287"/>
      <c r="B11" s="288"/>
      <c r="C11" s="289"/>
    </row>
    <row r="12" spans="1:3" ht="32.25" customHeight="1">
      <c r="A12" s="287" t="s">
        <v>117</v>
      </c>
      <c r="B12" s="288" t="s">
        <v>326</v>
      </c>
      <c r="C12" s="289">
        <v>0.8</v>
      </c>
    </row>
    <row r="13" spans="1:3" ht="12.75" customHeight="1">
      <c r="A13" s="287"/>
      <c r="B13" s="288"/>
      <c r="C13" s="289"/>
    </row>
    <row r="14" spans="1:3" ht="32.25" customHeight="1">
      <c r="A14" s="287" t="s">
        <v>327</v>
      </c>
      <c r="B14" s="288" t="s">
        <v>328</v>
      </c>
      <c r="C14" s="289">
        <v>0.7</v>
      </c>
    </row>
    <row r="15" spans="1:3" ht="12.75" customHeight="1">
      <c r="A15" s="287"/>
      <c r="B15" s="288"/>
      <c r="C15" s="289"/>
    </row>
    <row r="16" spans="1:3" ht="47.25" customHeight="1">
      <c r="A16" s="287" t="s">
        <v>107</v>
      </c>
      <c r="B16" s="288" t="s">
        <v>329</v>
      </c>
      <c r="C16" s="289">
        <v>0.6</v>
      </c>
    </row>
    <row r="17" spans="1:9">
      <c r="A17" s="287"/>
      <c r="B17" s="288"/>
      <c r="C17" s="289"/>
    </row>
    <row r="18" spans="1:9" ht="15">
      <c r="E18" s="285" t="s">
        <v>305</v>
      </c>
      <c r="F18" s="285"/>
      <c r="G18" s="285"/>
      <c r="H18" s="285"/>
      <c r="I18" s="285"/>
    </row>
    <row r="19" spans="1:9" ht="15">
      <c r="E19" s="286" t="s">
        <v>306</v>
      </c>
      <c r="F19" s="286" t="s">
        <v>307</v>
      </c>
      <c r="G19" s="286"/>
      <c r="H19" s="286"/>
      <c r="I19" s="286"/>
    </row>
    <row r="20" spans="1:9" ht="15">
      <c r="E20" s="286"/>
      <c r="F20" s="245" t="s">
        <v>308</v>
      </c>
      <c r="G20" s="245" t="s">
        <v>309</v>
      </c>
      <c r="H20" s="245" t="s">
        <v>310</v>
      </c>
      <c r="I20" s="245" t="s">
        <v>311</v>
      </c>
    </row>
    <row r="21" spans="1:9" ht="15">
      <c r="E21" s="243" t="s">
        <v>312</v>
      </c>
      <c r="F21" s="244">
        <v>1</v>
      </c>
      <c r="G21" s="244">
        <v>0.75</v>
      </c>
      <c r="H21" s="244">
        <v>0.5</v>
      </c>
      <c r="I21" s="244">
        <v>0.2</v>
      </c>
    </row>
    <row r="22" spans="1:9" ht="15">
      <c r="E22" s="243" t="s">
        <v>97</v>
      </c>
      <c r="F22" s="244">
        <v>0.8</v>
      </c>
      <c r="G22" s="244">
        <v>0.6</v>
      </c>
      <c r="H22" s="244">
        <v>0.4</v>
      </c>
      <c r="I22" s="244">
        <v>0.16</v>
      </c>
    </row>
    <row r="23" spans="1:9" ht="15">
      <c r="E23" s="243" t="s">
        <v>313</v>
      </c>
      <c r="F23" s="244">
        <v>0.6</v>
      </c>
      <c r="G23" s="244">
        <v>0.45</v>
      </c>
      <c r="H23" s="244">
        <v>0.3</v>
      </c>
      <c r="I23" s="244">
        <v>0.12</v>
      </c>
    </row>
    <row r="24" spans="1:9" ht="15">
      <c r="E24" s="243" t="s">
        <v>314</v>
      </c>
      <c r="F24" s="244">
        <v>0.4</v>
      </c>
      <c r="G24" s="244">
        <v>0.3</v>
      </c>
      <c r="H24" s="244">
        <v>0.2</v>
      </c>
      <c r="I24" s="244">
        <v>0.08</v>
      </c>
    </row>
    <row r="25" spans="1:9" ht="15">
      <c r="E25" s="243" t="s">
        <v>315</v>
      </c>
      <c r="F25" s="244">
        <v>0.2</v>
      </c>
      <c r="G25" s="244">
        <v>0.15</v>
      </c>
      <c r="H25" s="244">
        <v>0.1</v>
      </c>
      <c r="I25" s="244">
        <v>0.04</v>
      </c>
    </row>
  </sheetData>
  <mergeCells count="27">
    <mergeCell ref="A2:A3"/>
    <mergeCell ref="B2:B3"/>
    <mergeCell ref="C2:C3"/>
    <mergeCell ref="A4:A5"/>
    <mergeCell ref="B4:B5"/>
    <mergeCell ref="C4:C5"/>
    <mergeCell ref="A6:A7"/>
    <mergeCell ref="B6:B7"/>
    <mergeCell ref="C6:C7"/>
    <mergeCell ref="A8:A9"/>
    <mergeCell ref="B8:B9"/>
    <mergeCell ref="C8:C9"/>
    <mergeCell ref="A10:A11"/>
    <mergeCell ref="B10:B11"/>
    <mergeCell ref="C10:C11"/>
    <mergeCell ref="A12:A13"/>
    <mergeCell ref="B12:B13"/>
    <mergeCell ref="C12:C13"/>
    <mergeCell ref="E18:I18"/>
    <mergeCell ref="E19:E20"/>
    <mergeCell ref="F19:I19"/>
    <mergeCell ref="A14:A15"/>
    <mergeCell ref="B14:B15"/>
    <mergeCell ref="C14:C15"/>
    <mergeCell ref="A16:A17"/>
    <mergeCell ref="B16:B17"/>
    <mergeCell ref="C16:C17"/>
  </mergeCells>
  <pageMargins left="0.511811024" right="0.511811024" top="0.78740157499999996" bottom="0.78740157499999996" header="0.31496062000000002" footer="0.31496062000000002"/>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2:T21"/>
  <sheetViews>
    <sheetView topLeftCell="B1" workbookViewId="0">
      <selection activeCell="K18" sqref="K18"/>
    </sheetView>
  </sheetViews>
  <sheetFormatPr defaultColWidth="9.140625" defaultRowHeight="12.75"/>
  <cols>
    <col min="1" max="4" width="9.140625" style="152" customWidth="1"/>
    <col min="5" max="5" width="14.28515625" style="152" customWidth="1"/>
    <col min="6" max="6" width="20.7109375" style="152" customWidth="1"/>
    <col min="7" max="7" width="8.28515625" style="152" bestFit="1" customWidth="1"/>
    <col min="8" max="9" width="9.140625" style="152" customWidth="1"/>
    <col min="10" max="10" width="14.42578125" style="152" customWidth="1"/>
    <col min="11" max="11" width="9.140625" style="152" customWidth="1"/>
    <col min="12" max="16384" width="9.140625" style="152"/>
  </cols>
  <sheetData>
    <row r="2" spans="3:20">
      <c r="L2" s="207"/>
      <c r="M2" s="207"/>
      <c r="N2" s="207"/>
      <c r="O2" s="207"/>
      <c r="P2" s="207"/>
      <c r="Q2" s="207"/>
      <c r="R2" s="207"/>
      <c r="S2" s="207"/>
      <c r="T2" s="207"/>
    </row>
    <row r="3" spans="3:20">
      <c r="L3" s="207"/>
      <c r="M3" s="207"/>
      <c r="N3" s="207"/>
      <c r="O3" s="207" t="s">
        <v>59</v>
      </c>
      <c r="P3" s="207" t="s">
        <v>60</v>
      </c>
      <c r="Q3" s="207"/>
      <c r="R3" s="207"/>
      <c r="S3" s="207"/>
      <c r="T3" s="207"/>
    </row>
    <row r="4" spans="3:20">
      <c r="C4" s="316" t="str">
        <f>C16</f>
        <v>MATRÍCULA 11.173</v>
      </c>
      <c r="D4" s="284"/>
      <c r="E4" s="284"/>
      <c r="F4" s="284"/>
      <c r="G4" s="284"/>
      <c r="H4" s="284"/>
      <c r="I4" s="284"/>
      <c r="J4" s="284"/>
      <c r="L4" s="207"/>
      <c r="M4" s="207"/>
      <c r="N4" s="207"/>
      <c r="O4" s="208">
        <v>13.6783</v>
      </c>
      <c r="P4" s="208">
        <v>141.85040000000001</v>
      </c>
      <c r="Q4" s="207">
        <f>P4+O4</f>
        <v>155.52870000000001</v>
      </c>
      <c r="R4" s="207"/>
      <c r="S4" s="207"/>
      <c r="T4" s="207"/>
    </row>
    <row r="5" spans="3:20">
      <c r="C5" s="314" t="s">
        <v>61</v>
      </c>
      <c r="D5" s="263"/>
      <c r="E5" s="314" t="s">
        <v>62</v>
      </c>
      <c r="F5" s="263"/>
      <c r="G5" s="314" t="s">
        <v>63</v>
      </c>
      <c r="H5" s="263"/>
      <c r="I5" s="307" t="s">
        <v>64</v>
      </c>
      <c r="J5" s="263"/>
      <c r="L5" s="207"/>
      <c r="M5" s="207"/>
      <c r="N5" s="207" t="s">
        <v>65</v>
      </c>
      <c r="O5" s="207"/>
      <c r="P5" s="207"/>
      <c r="Q5" s="207"/>
      <c r="R5" s="207"/>
      <c r="S5" s="207"/>
      <c r="T5" s="207"/>
    </row>
    <row r="6" spans="3:20">
      <c r="C6" s="293">
        <f>AMOSTRAS!E6</f>
        <v>52.034300000000002</v>
      </c>
      <c r="D6" s="251"/>
      <c r="E6" s="313" t="s">
        <v>66</v>
      </c>
      <c r="F6" s="251"/>
      <c r="G6" s="315" t="s">
        <v>67</v>
      </c>
      <c r="H6" s="251"/>
      <c r="I6" s="291" t="s">
        <v>67</v>
      </c>
      <c r="J6" s="251"/>
      <c r="L6" s="207">
        <v>231.63</v>
      </c>
      <c r="M6" s="207"/>
      <c r="N6" s="207">
        <f>L6+7.12</f>
        <v>238.75</v>
      </c>
      <c r="O6" s="207"/>
      <c r="P6" s="207"/>
      <c r="Q6" s="207"/>
      <c r="R6" s="207">
        <f>P4+O4+N6</f>
        <v>394.27870000000001</v>
      </c>
      <c r="S6" s="207"/>
      <c r="T6" s="207"/>
    </row>
    <row r="7" spans="3:20">
      <c r="C7" s="312" t="s">
        <v>68</v>
      </c>
      <c r="D7" s="250"/>
      <c r="E7" s="250"/>
      <c r="F7" s="250"/>
      <c r="G7" s="250"/>
      <c r="H7" s="250"/>
      <c r="I7" s="250"/>
      <c r="J7" s="251"/>
      <c r="L7" s="207"/>
      <c r="M7" s="207"/>
      <c r="N7" s="207"/>
      <c r="O7" s="207"/>
      <c r="P7" s="207"/>
      <c r="Q7" s="207"/>
      <c r="R7" s="207">
        <f>C6-R6</f>
        <v>-342.24440000000004</v>
      </c>
      <c r="S7" s="207" t="s">
        <v>69</v>
      </c>
      <c r="T7" s="207"/>
    </row>
    <row r="8" spans="3:20">
      <c r="C8" s="292" t="s">
        <v>61</v>
      </c>
      <c r="D8" s="251"/>
      <c r="E8" s="292" t="s">
        <v>70</v>
      </c>
      <c r="F8" s="251"/>
      <c r="G8" s="292" t="s">
        <v>71</v>
      </c>
      <c r="H8" s="251"/>
      <c r="I8" s="311" t="s">
        <v>72</v>
      </c>
      <c r="J8" s="251"/>
      <c r="L8" s="207"/>
      <c r="M8" s="207"/>
      <c r="N8" s="207"/>
      <c r="O8" s="207"/>
      <c r="P8" s="207"/>
      <c r="Q8" s="207"/>
      <c r="R8" s="207"/>
      <c r="S8" s="207"/>
      <c r="T8" s="207"/>
    </row>
    <row r="9" spans="3:20">
      <c r="C9" s="313">
        <v>52.034300000000002</v>
      </c>
      <c r="D9" s="251"/>
      <c r="E9" s="315" t="s">
        <v>303</v>
      </c>
      <c r="F9" s="251"/>
      <c r="G9" s="293">
        <v>80</v>
      </c>
      <c r="H9" s="251"/>
      <c r="I9" s="291">
        <v>0.65039999999999998</v>
      </c>
      <c r="J9" s="251"/>
      <c r="L9" s="207"/>
      <c r="M9" s="207"/>
      <c r="N9" s="207"/>
      <c r="O9" s="207"/>
      <c r="P9" s="207"/>
      <c r="Q9" s="207"/>
      <c r="R9" s="207"/>
      <c r="S9" s="207"/>
      <c r="T9" s="207"/>
    </row>
    <row r="10" spans="3:20">
      <c r="C10" s="312" t="s">
        <v>73</v>
      </c>
      <c r="D10" s="250"/>
      <c r="E10" s="250"/>
      <c r="F10" s="250"/>
      <c r="G10" s="250"/>
      <c r="H10" s="250"/>
      <c r="I10" s="250"/>
      <c r="J10" s="251"/>
      <c r="L10" s="207"/>
      <c r="M10" s="207"/>
      <c r="N10" s="207"/>
      <c r="O10" s="207"/>
      <c r="P10" s="207"/>
      <c r="Q10" s="207"/>
      <c r="R10" s="207"/>
      <c r="S10" s="207"/>
      <c r="T10" s="207"/>
    </row>
    <row r="11" spans="3:20">
      <c r="C11" s="292" t="s">
        <v>61</v>
      </c>
      <c r="D11" s="251"/>
      <c r="E11" s="292" t="s">
        <v>62</v>
      </c>
      <c r="F11" s="251"/>
      <c r="G11" s="292" t="s">
        <v>63</v>
      </c>
      <c r="H11" s="251"/>
      <c r="I11" s="311" t="s">
        <v>74</v>
      </c>
      <c r="J11" s="251"/>
    </row>
    <row r="12" spans="3:20">
      <c r="C12" s="313">
        <v>52.034300000000002</v>
      </c>
      <c r="D12" s="251"/>
      <c r="E12" s="313">
        <v>18.2121</v>
      </c>
      <c r="F12" s="251"/>
      <c r="G12" s="315">
        <v>1.7411000000000001</v>
      </c>
      <c r="H12" s="251"/>
      <c r="I12" s="318">
        <v>9.7928999999999995</v>
      </c>
      <c r="J12" s="251"/>
    </row>
    <row r="13" spans="3:20">
      <c r="C13" s="292" t="s">
        <v>75</v>
      </c>
      <c r="D13" s="251"/>
      <c r="E13" s="315" t="s">
        <v>76</v>
      </c>
      <c r="F13" s="251"/>
      <c r="G13" s="292" t="s">
        <v>77</v>
      </c>
      <c r="H13" s="251"/>
      <c r="I13" s="291" t="s">
        <v>78</v>
      </c>
      <c r="J13" s="251"/>
    </row>
    <row r="16" spans="3:20">
      <c r="C16" s="308" t="s">
        <v>302</v>
      </c>
      <c r="D16" s="309"/>
      <c r="E16" s="309"/>
      <c r="F16" s="309"/>
      <c r="G16" s="309"/>
      <c r="H16" s="309"/>
      <c r="I16" s="310"/>
    </row>
    <row r="17" spans="3:10">
      <c r="C17" s="312" t="s">
        <v>79</v>
      </c>
      <c r="D17" s="250"/>
      <c r="E17" s="251"/>
      <c r="F17" s="312" t="s">
        <v>80</v>
      </c>
      <c r="G17" s="251"/>
      <c r="H17" s="312" t="s">
        <v>81</v>
      </c>
      <c r="I17" s="251"/>
    </row>
    <row r="18" spans="3:10" ht="15">
      <c r="C18" s="299" t="s">
        <v>304</v>
      </c>
      <c r="D18" s="300"/>
      <c r="E18" s="301"/>
      <c r="F18" s="303">
        <f>AMOSTRAS!E11</f>
        <v>7.23</v>
      </c>
      <c r="G18" s="304"/>
      <c r="H18" s="305">
        <f>F18/C6</f>
        <v>0.13894681008488632</v>
      </c>
      <c r="I18" s="306"/>
    </row>
    <row r="19" spans="3:10">
      <c r="C19" s="302" t="s">
        <v>301</v>
      </c>
      <c r="D19" s="250"/>
      <c r="E19" s="251"/>
      <c r="F19" s="293">
        <f>AMOSTRAS!E12</f>
        <v>24.851099999999999</v>
      </c>
      <c r="G19" s="251"/>
      <c r="H19" s="290">
        <f>AMOSTRAS!F12</f>
        <v>0.4775907430291173</v>
      </c>
      <c r="I19" s="251"/>
    </row>
    <row r="20" spans="3:10">
      <c r="C20" s="319" t="s">
        <v>82</v>
      </c>
      <c r="D20" s="320"/>
      <c r="E20" s="321"/>
      <c r="F20" s="297">
        <f>AMOSTRAS!E13</f>
        <v>19.953199999999999</v>
      </c>
      <c r="G20" s="298"/>
      <c r="H20" s="295">
        <f>AMOSTRAS!F13</f>
        <v>0.38346244688599634</v>
      </c>
      <c r="I20" s="296"/>
    </row>
    <row r="21" spans="3:10">
      <c r="C21" s="294" t="s">
        <v>83</v>
      </c>
      <c r="D21" s="250"/>
      <c r="E21" s="251"/>
      <c r="F21" s="317">
        <f>SUM(F18:G20)</f>
        <v>52.034300000000002</v>
      </c>
      <c r="G21" s="251"/>
      <c r="H21" s="290">
        <f>SUM(H18:I20)</f>
        <v>1</v>
      </c>
      <c r="I21" s="251"/>
      <c r="J21" s="204"/>
    </row>
  </sheetData>
  <mergeCells count="47">
    <mergeCell ref="C4:J4"/>
    <mergeCell ref="C10:J10"/>
    <mergeCell ref="F21:G21"/>
    <mergeCell ref="F19:G19"/>
    <mergeCell ref="C17:E17"/>
    <mergeCell ref="E13:F13"/>
    <mergeCell ref="G6:H6"/>
    <mergeCell ref="G13:H13"/>
    <mergeCell ref="C9:D9"/>
    <mergeCell ref="E9:F9"/>
    <mergeCell ref="F17:G17"/>
    <mergeCell ref="H17:I17"/>
    <mergeCell ref="C12:D12"/>
    <mergeCell ref="I12:J12"/>
    <mergeCell ref="E6:F6"/>
    <mergeCell ref="C20:E20"/>
    <mergeCell ref="I5:J5"/>
    <mergeCell ref="C16:I16"/>
    <mergeCell ref="I8:J8"/>
    <mergeCell ref="C8:D8"/>
    <mergeCell ref="C7:J7"/>
    <mergeCell ref="E12:F12"/>
    <mergeCell ref="C5:D5"/>
    <mergeCell ref="I11:J11"/>
    <mergeCell ref="E5:F5"/>
    <mergeCell ref="G8:H8"/>
    <mergeCell ref="E8:F8"/>
    <mergeCell ref="C11:D11"/>
    <mergeCell ref="E11:F11"/>
    <mergeCell ref="G5:H5"/>
    <mergeCell ref="G12:H12"/>
    <mergeCell ref="C6:D6"/>
    <mergeCell ref="H21:I21"/>
    <mergeCell ref="I6:J6"/>
    <mergeCell ref="G11:H11"/>
    <mergeCell ref="H19:I19"/>
    <mergeCell ref="C13:D13"/>
    <mergeCell ref="I13:J13"/>
    <mergeCell ref="G9:H9"/>
    <mergeCell ref="C21:E21"/>
    <mergeCell ref="I9:J9"/>
    <mergeCell ref="H20:I20"/>
    <mergeCell ref="F20:G20"/>
    <mergeCell ref="C18:E18"/>
    <mergeCell ref="C19:E19"/>
    <mergeCell ref="F18:G18"/>
    <mergeCell ref="H18:I18"/>
  </mergeCells>
  <pageMargins left="0.511811024" right="0.511811024" top="0.78740157499999996" bottom="0.78740157499999996" header="0.31496062000000002" footer="0.31496062000000002"/>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N112"/>
  <sheetViews>
    <sheetView topLeftCell="A31" zoomScaleNormal="100" workbookViewId="0">
      <selection activeCell="E31" sqref="E31:F31"/>
    </sheetView>
  </sheetViews>
  <sheetFormatPr defaultColWidth="9.140625" defaultRowHeight="12.75"/>
  <cols>
    <col min="1" max="4" width="9.140625" style="152" customWidth="1"/>
    <col min="5" max="5" width="13.7109375" style="152" bestFit="1" customWidth="1"/>
    <col min="6" max="6" width="22.85546875" style="152" customWidth="1"/>
    <col min="7" max="7" width="13.7109375" style="152" customWidth="1"/>
    <col min="8" max="8" width="6.5703125" style="152" customWidth="1"/>
    <col min="9" max="9" width="12" style="152" customWidth="1"/>
    <col min="10" max="10" width="13.42578125" style="152" bestFit="1" customWidth="1"/>
    <col min="11" max="11" width="14.42578125" style="152" bestFit="1" customWidth="1"/>
    <col min="12" max="12" width="9.140625" style="152" customWidth="1"/>
    <col min="13" max="13" width="14.28515625" style="152" customWidth="1"/>
    <col min="14" max="14" width="14.42578125" style="152" customWidth="1"/>
    <col min="15" max="15" width="9.140625" style="152" customWidth="1"/>
    <col min="16" max="16384" width="9.140625" style="152"/>
  </cols>
  <sheetData>
    <row r="3" spans="2:14" ht="15" customHeight="1">
      <c r="B3" s="381" t="s">
        <v>84</v>
      </c>
      <c r="C3" s="382"/>
      <c r="D3" s="382"/>
      <c r="E3" s="382"/>
      <c r="F3" s="382"/>
      <c r="G3" s="382"/>
      <c r="H3" s="382"/>
      <c r="I3" s="382"/>
      <c r="L3" s="322" t="s">
        <v>85</v>
      </c>
      <c r="M3" s="251"/>
    </row>
    <row r="4" spans="2:14" ht="15" customHeight="1">
      <c r="B4" s="328" t="s">
        <v>86</v>
      </c>
      <c r="C4" s="329"/>
      <c r="D4" s="329"/>
      <c r="E4" s="340" t="s">
        <v>298</v>
      </c>
      <c r="F4" s="284"/>
      <c r="G4" s="163" t="s">
        <v>87</v>
      </c>
      <c r="H4" s="383" t="s">
        <v>299</v>
      </c>
      <c r="I4" s="253"/>
      <c r="J4" s="186"/>
      <c r="L4" s="153" t="s">
        <v>88</v>
      </c>
      <c r="M4" s="230">
        <f>SUM(H20+H34+H48+H62+H76+H90)/6</f>
        <v>14456.007605946534</v>
      </c>
    </row>
    <row r="5" spans="2:14" ht="15" customHeight="1">
      <c r="B5" s="331" t="s">
        <v>89</v>
      </c>
      <c r="C5" s="284"/>
      <c r="D5" s="284"/>
      <c r="E5" s="323" t="s">
        <v>90</v>
      </c>
      <c r="F5" s="284"/>
      <c r="G5" s="163" t="s">
        <v>91</v>
      </c>
      <c r="H5" s="364" t="s">
        <v>49</v>
      </c>
      <c r="I5" s="253"/>
      <c r="L5" s="153" t="s">
        <v>92</v>
      </c>
      <c r="M5" s="230">
        <f>M4*4.84</f>
        <v>69967.076812781219</v>
      </c>
    </row>
    <row r="6" spans="2:14" ht="15" customHeight="1">
      <c r="B6" s="331" t="s">
        <v>93</v>
      </c>
      <c r="C6" s="284"/>
      <c r="D6" s="284"/>
      <c r="E6" s="366">
        <v>52.034300000000002</v>
      </c>
      <c r="F6" s="284"/>
      <c r="G6" s="163" t="s">
        <v>94</v>
      </c>
      <c r="H6" s="385" t="s">
        <v>300</v>
      </c>
      <c r="I6" s="253"/>
    </row>
    <row r="7" spans="2:14" ht="15" customHeight="1">
      <c r="B7" s="165"/>
      <c r="C7" s="325" t="s">
        <v>96</v>
      </c>
      <c r="D7" s="284"/>
      <c r="E7" s="372" t="s">
        <v>136</v>
      </c>
      <c r="F7" s="284"/>
      <c r="G7" s="163" t="s">
        <v>98</v>
      </c>
      <c r="H7" s="344">
        <f ca="1">TODAY()</f>
        <v>45842</v>
      </c>
      <c r="I7" s="253"/>
    </row>
    <row r="8" spans="2:14" ht="15" customHeight="1">
      <c r="B8" s="165"/>
      <c r="C8" s="325" t="s">
        <v>99</v>
      </c>
      <c r="D8" s="284"/>
      <c r="E8" s="363">
        <v>11173</v>
      </c>
      <c r="F8" s="284"/>
      <c r="G8" s="163" t="s">
        <v>100</v>
      </c>
      <c r="H8" s="355"/>
      <c r="I8" s="253"/>
      <c r="J8" s="226"/>
      <c r="K8" s="226"/>
      <c r="L8" s="226"/>
      <c r="M8" s="226"/>
      <c r="N8" s="226"/>
    </row>
    <row r="9" spans="2:14" ht="15" customHeight="1">
      <c r="B9" s="342" t="s">
        <v>101</v>
      </c>
      <c r="C9" s="284"/>
      <c r="D9" s="284"/>
      <c r="E9" s="284"/>
      <c r="F9" s="284"/>
      <c r="G9" s="284"/>
      <c r="H9" s="284"/>
      <c r="I9" s="253"/>
      <c r="J9" s="226"/>
      <c r="K9" s="226"/>
      <c r="L9" s="226"/>
      <c r="M9" s="226"/>
      <c r="N9" s="226"/>
    </row>
    <row r="10" spans="2:14" ht="15" customHeight="1">
      <c r="B10" s="324" t="s">
        <v>102</v>
      </c>
      <c r="C10" s="284"/>
      <c r="D10" s="284"/>
      <c r="E10" s="166" t="s">
        <v>103</v>
      </c>
      <c r="F10" s="166" t="s">
        <v>104</v>
      </c>
      <c r="G10" s="337" t="s">
        <v>105</v>
      </c>
      <c r="H10" s="284"/>
      <c r="I10" s="167"/>
      <c r="J10" s="226"/>
      <c r="K10" s="226"/>
      <c r="L10" s="226"/>
      <c r="M10" s="226"/>
      <c r="N10" s="226"/>
    </row>
    <row r="11" spans="2:14" ht="15" customHeight="1">
      <c r="B11" s="351" t="s">
        <v>106</v>
      </c>
      <c r="C11" s="352"/>
      <c r="D11" s="352"/>
      <c r="E11" s="240">
        <v>7.23</v>
      </c>
      <c r="F11" s="241">
        <f>E11/E6</f>
        <v>0.13894681008488632</v>
      </c>
      <c r="G11" s="353">
        <v>1</v>
      </c>
      <c r="H11" s="353"/>
      <c r="I11" s="167"/>
      <c r="J11" s="226"/>
      <c r="K11" s="226"/>
      <c r="L11" s="226"/>
      <c r="M11" s="226"/>
      <c r="N11" s="226"/>
    </row>
    <row r="12" spans="2:14" ht="15" customHeight="1">
      <c r="B12" s="362" t="s">
        <v>117</v>
      </c>
      <c r="C12" s="284"/>
      <c r="D12" s="284"/>
      <c r="E12" s="220">
        <f>32.0811-E11</f>
        <v>24.851099999999999</v>
      </c>
      <c r="F12" s="169">
        <f>E12/E6</f>
        <v>0.4775907430291173</v>
      </c>
      <c r="G12" s="327">
        <v>0.8</v>
      </c>
      <c r="H12" s="284"/>
      <c r="I12" s="167"/>
      <c r="J12" s="226"/>
      <c r="K12" s="226"/>
      <c r="L12" s="226"/>
      <c r="M12" s="226"/>
      <c r="N12" s="226"/>
    </row>
    <row r="13" spans="2:14" ht="15" customHeight="1">
      <c r="B13" s="373" t="s">
        <v>107</v>
      </c>
      <c r="C13" s="284"/>
      <c r="D13" s="284"/>
      <c r="E13" s="202">
        <f>18.2121+1.7411</f>
        <v>19.953199999999999</v>
      </c>
      <c r="F13" s="169">
        <f>E13/E6</f>
        <v>0.38346244688599634</v>
      </c>
      <c r="G13" s="327">
        <v>0.6</v>
      </c>
      <c r="H13" s="284"/>
      <c r="I13" s="167"/>
      <c r="J13" s="226"/>
      <c r="K13" s="229">
        <v>2.8391000000000002</v>
      </c>
      <c r="L13" s="229">
        <v>1.8496999999999999</v>
      </c>
      <c r="M13" s="226"/>
      <c r="N13" s="226"/>
    </row>
    <row r="14" spans="2:14" ht="15" customHeight="1">
      <c r="B14" s="354" t="s">
        <v>83</v>
      </c>
      <c r="C14" s="259"/>
      <c r="D14" s="259"/>
      <c r="E14" s="170">
        <f>SUM(E11:E13)</f>
        <v>52.034300000000002</v>
      </c>
      <c r="F14" s="171">
        <f>SUM(F11:F13)</f>
        <v>1</v>
      </c>
      <c r="G14" s="350">
        <f>(F12*G12)+(F13*G13)+F11*G11</f>
        <v>0.75109687263977798</v>
      </c>
      <c r="H14" s="259"/>
      <c r="I14" s="172"/>
      <c r="J14" s="227"/>
      <c r="K14" s="228"/>
      <c r="L14" s="226"/>
      <c r="M14" s="226"/>
      <c r="N14" s="226"/>
    </row>
    <row r="15" spans="2:14" ht="15" customHeight="1">
      <c r="B15" s="173"/>
      <c r="C15" s="173"/>
      <c r="D15" s="173"/>
      <c r="E15" s="173"/>
      <c r="F15" s="173"/>
      <c r="G15" s="173"/>
      <c r="H15" s="173"/>
      <c r="I15" s="173"/>
      <c r="J15" s="226"/>
      <c r="K15" s="226"/>
      <c r="L15" s="226"/>
      <c r="M15" s="226"/>
      <c r="N15" s="226"/>
    </row>
    <row r="16" spans="2:14" ht="15" customHeight="1">
      <c r="B16" s="348" t="s">
        <v>108</v>
      </c>
      <c r="C16" s="284"/>
      <c r="D16" s="284"/>
      <c r="E16" s="284"/>
      <c r="F16" s="284"/>
      <c r="G16" s="284"/>
      <c r="H16" s="284"/>
      <c r="I16" s="284"/>
      <c r="K16" s="203"/>
    </row>
    <row r="17" spans="2:11" ht="15" customHeight="1">
      <c r="B17" s="328" t="s">
        <v>109</v>
      </c>
      <c r="C17" s="329"/>
      <c r="D17" s="329"/>
      <c r="E17" s="326" t="s">
        <v>110</v>
      </c>
      <c r="F17" s="284"/>
      <c r="G17" s="163" t="s">
        <v>87</v>
      </c>
      <c r="H17" s="338" t="s">
        <v>111</v>
      </c>
      <c r="I17" s="253"/>
      <c r="K17" s="203" t="s">
        <v>112</v>
      </c>
    </row>
    <row r="18" spans="2:11" ht="15" customHeight="1">
      <c r="B18" s="331" t="s">
        <v>89</v>
      </c>
      <c r="C18" s="284"/>
      <c r="D18" s="284"/>
      <c r="E18" s="323" t="s">
        <v>90</v>
      </c>
      <c r="F18" s="284"/>
      <c r="G18" s="163" t="s">
        <v>91</v>
      </c>
      <c r="H18" s="336" t="s">
        <v>49</v>
      </c>
      <c r="I18" s="253"/>
      <c r="K18" s="203"/>
    </row>
    <row r="19" spans="2:11" ht="15" customHeight="1">
      <c r="B19" s="331" t="s">
        <v>93</v>
      </c>
      <c r="C19" s="284"/>
      <c r="D19" s="284"/>
      <c r="E19" s="365">
        <f>3500*4.84</f>
        <v>16940</v>
      </c>
      <c r="F19" s="284"/>
      <c r="G19" s="163" t="s">
        <v>94</v>
      </c>
      <c r="H19" s="357" t="s">
        <v>95</v>
      </c>
      <c r="I19" s="253"/>
    </row>
    <row r="20" spans="2:11" ht="15" customHeight="1">
      <c r="B20" s="211"/>
      <c r="C20" s="325" t="s">
        <v>113</v>
      </c>
      <c r="D20" s="284"/>
      <c r="E20" s="371">
        <f>180000000</f>
        <v>180000000</v>
      </c>
      <c r="F20" s="284"/>
      <c r="G20" s="163" t="s">
        <v>114</v>
      </c>
      <c r="H20" s="360">
        <f>E20/E19</f>
        <v>10625.737898465171</v>
      </c>
      <c r="I20" s="253"/>
      <c r="K20" s="221">
        <f>H20*4.84</f>
        <v>51428.571428571428</v>
      </c>
    </row>
    <row r="21" spans="2:11" ht="15" customHeight="1">
      <c r="B21" s="212"/>
      <c r="C21" s="325" t="s">
        <v>115</v>
      </c>
      <c r="D21" s="284"/>
      <c r="E21" s="332" t="s">
        <v>116</v>
      </c>
      <c r="F21" s="284"/>
      <c r="G21" s="163" t="s">
        <v>98</v>
      </c>
      <c r="H21" s="344">
        <f ca="1">TODAY()</f>
        <v>45842</v>
      </c>
      <c r="I21" s="253"/>
    </row>
    <row r="22" spans="2:11" ht="15" customHeight="1">
      <c r="B22" s="212"/>
      <c r="C22" s="325" t="s">
        <v>96</v>
      </c>
      <c r="D22" s="284"/>
      <c r="E22" s="326" t="s">
        <v>97</v>
      </c>
      <c r="F22" s="284"/>
      <c r="G22" s="163" t="s">
        <v>100</v>
      </c>
      <c r="H22" s="368"/>
      <c r="I22" s="253"/>
      <c r="K22" s="238"/>
    </row>
    <row r="23" spans="2:11" ht="15" customHeight="1">
      <c r="B23" s="342" t="s">
        <v>101</v>
      </c>
      <c r="C23" s="284"/>
      <c r="D23" s="284"/>
      <c r="E23" s="284"/>
      <c r="F23" s="284"/>
      <c r="G23" s="284"/>
      <c r="H23" s="284"/>
      <c r="I23" s="253"/>
    </row>
    <row r="24" spans="2:11" ht="15" customHeight="1">
      <c r="B24" s="324" t="s">
        <v>102</v>
      </c>
      <c r="C24" s="284"/>
      <c r="D24" s="284"/>
      <c r="E24" s="166" t="s">
        <v>103</v>
      </c>
      <c r="F24" s="166" t="s">
        <v>104</v>
      </c>
      <c r="G24" s="337" t="s">
        <v>105</v>
      </c>
      <c r="H24" s="284"/>
      <c r="I24" s="213"/>
    </row>
    <row r="25" spans="2:11" ht="15" customHeight="1">
      <c r="B25" s="335" t="s">
        <v>106</v>
      </c>
      <c r="C25" s="284"/>
      <c r="D25" s="284"/>
      <c r="E25" s="214">
        <f>600 *4.84</f>
        <v>2904</v>
      </c>
      <c r="F25" s="215">
        <f>E25/E19</f>
        <v>0.17142857142857143</v>
      </c>
      <c r="G25" s="341">
        <v>1</v>
      </c>
      <c r="H25" s="284"/>
      <c r="I25" s="213"/>
    </row>
    <row r="26" spans="2:11" ht="15" customHeight="1">
      <c r="B26" s="236"/>
      <c r="C26" s="237" t="s">
        <v>117</v>
      </c>
      <c r="D26" s="218"/>
      <c r="E26" s="214">
        <f>E19-(E25+E27)</f>
        <v>8107</v>
      </c>
      <c r="F26" s="215">
        <f>E26/E19</f>
        <v>0.47857142857142859</v>
      </c>
      <c r="G26" s="341">
        <v>0.8</v>
      </c>
      <c r="H26" s="284"/>
      <c r="I26" s="213"/>
    </row>
    <row r="27" spans="2:11" ht="15" customHeight="1">
      <c r="B27" s="374" t="s">
        <v>107</v>
      </c>
      <c r="C27" s="284"/>
      <c r="D27" s="284"/>
      <c r="E27" s="214">
        <f>E19*0.35</f>
        <v>5929</v>
      </c>
      <c r="F27" s="215">
        <f>E27/E19</f>
        <v>0.35</v>
      </c>
      <c r="G27" s="341">
        <v>0.6</v>
      </c>
      <c r="H27" s="284"/>
      <c r="I27" s="213"/>
    </row>
    <row r="28" spans="2:11" ht="15" customHeight="1">
      <c r="B28" s="354" t="s">
        <v>83</v>
      </c>
      <c r="C28" s="259"/>
      <c r="D28" s="259"/>
      <c r="E28" s="170">
        <f>SUM(E25:E27)</f>
        <v>16940</v>
      </c>
      <c r="F28" s="171">
        <f>SUM(F25:F27)</f>
        <v>1</v>
      </c>
      <c r="G28" s="350">
        <f>F25*G25+F26*G26+F27*G27</f>
        <v>0.76428571428571423</v>
      </c>
      <c r="H28" s="259"/>
      <c r="I28" s="216"/>
    </row>
    <row r="29" spans="2:11" ht="15" customHeight="1">
      <c r="B29" s="217"/>
      <c r="C29" s="217"/>
      <c r="D29" s="217"/>
      <c r="E29" s="217"/>
      <c r="F29" s="217"/>
      <c r="G29" s="217"/>
      <c r="H29" s="217"/>
      <c r="I29" s="217"/>
    </row>
    <row r="30" spans="2:11" ht="15" customHeight="1">
      <c r="B30" s="348" t="s">
        <v>118</v>
      </c>
      <c r="C30" s="284"/>
      <c r="D30" s="284"/>
      <c r="E30" s="284"/>
      <c r="F30" s="284"/>
      <c r="G30" s="284"/>
      <c r="H30" s="284"/>
      <c r="I30" s="284"/>
    </row>
    <row r="31" spans="2:11" ht="15" customHeight="1">
      <c r="B31" s="328" t="s">
        <v>109</v>
      </c>
      <c r="C31" s="329"/>
      <c r="D31" s="329"/>
      <c r="E31" s="326" t="s">
        <v>119</v>
      </c>
      <c r="F31" s="284"/>
      <c r="G31" s="163" t="s">
        <v>87</v>
      </c>
      <c r="H31" s="338" t="s">
        <v>120</v>
      </c>
      <c r="I31" s="253"/>
      <c r="J31" s="185"/>
      <c r="K31" s="152" t="s">
        <v>121</v>
      </c>
    </row>
    <row r="32" spans="2:11" ht="15" customHeight="1">
      <c r="B32" s="331" t="s">
        <v>89</v>
      </c>
      <c r="C32" s="284"/>
      <c r="D32" s="284"/>
      <c r="E32" s="323" t="s">
        <v>90</v>
      </c>
      <c r="F32" s="284"/>
      <c r="G32" s="163" t="s">
        <v>91</v>
      </c>
      <c r="H32" s="336" t="s">
        <v>44</v>
      </c>
      <c r="I32" s="253"/>
      <c r="K32" s="203"/>
    </row>
    <row r="33" spans="2:11" ht="15" customHeight="1">
      <c r="B33" s="331" t="s">
        <v>93</v>
      </c>
      <c r="C33" s="284"/>
      <c r="D33" s="284"/>
      <c r="E33" s="377">
        <v>1258.4000000000001</v>
      </c>
      <c r="F33" s="284"/>
      <c r="G33" s="163" t="s">
        <v>94</v>
      </c>
      <c r="H33" s="336" t="s">
        <v>95</v>
      </c>
      <c r="I33" s="253"/>
      <c r="K33" s="203"/>
    </row>
    <row r="34" spans="2:11" ht="15" customHeight="1">
      <c r="B34" s="211"/>
      <c r="C34" s="325" t="s">
        <v>113</v>
      </c>
      <c r="D34" s="284"/>
      <c r="E34" s="371">
        <v>16900000</v>
      </c>
      <c r="F34" s="284"/>
      <c r="G34" s="163" t="s">
        <v>114</v>
      </c>
      <c r="H34" s="360">
        <f>E34/E33</f>
        <v>13429.752066115701</v>
      </c>
      <c r="I34" s="253"/>
      <c r="K34" s="221">
        <f>H34*4.84</f>
        <v>64999.999999999993</v>
      </c>
    </row>
    <row r="35" spans="2:11" ht="15" customHeight="1">
      <c r="B35" s="212"/>
      <c r="C35" s="325" t="s">
        <v>115</v>
      </c>
      <c r="D35" s="284"/>
      <c r="E35" s="332" t="s">
        <v>116</v>
      </c>
      <c r="F35" s="284"/>
      <c r="G35" s="163" t="s">
        <v>98</v>
      </c>
      <c r="H35" s="344">
        <f ca="1">TODAY()</f>
        <v>45842</v>
      </c>
      <c r="I35" s="253"/>
    </row>
    <row r="36" spans="2:11" ht="15" customHeight="1">
      <c r="B36" s="212"/>
      <c r="C36" s="325" t="s">
        <v>96</v>
      </c>
      <c r="D36" s="284"/>
      <c r="E36" s="326" t="s">
        <v>97</v>
      </c>
      <c r="F36" s="284"/>
      <c r="G36" s="163" t="s">
        <v>100</v>
      </c>
      <c r="H36" s="368"/>
      <c r="I36" s="253"/>
    </row>
    <row r="37" spans="2:11" ht="15" customHeight="1">
      <c r="B37" s="342" t="s">
        <v>101</v>
      </c>
      <c r="C37" s="284"/>
      <c r="D37" s="284"/>
      <c r="E37" s="284"/>
      <c r="F37" s="284"/>
      <c r="G37" s="284"/>
      <c r="H37" s="284"/>
      <c r="I37" s="253"/>
      <c r="K37" s="238"/>
    </row>
    <row r="38" spans="2:11" ht="15" customHeight="1">
      <c r="B38" s="324" t="s">
        <v>102</v>
      </c>
      <c r="C38" s="284"/>
      <c r="D38" s="284"/>
      <c r="E38" s="166" t="s">
        <v>103</v>
      </c>
      <c r="F38" s="166" t="s">
        <v>104</v>
      </c>
      <c r="G38" s="337" t="s">
        <v>105</v>
      </c>
      <c r="H38" s="284"/>
      <c r="I38" s="213"/>
    </row>
    <row r="39" spans="2:11" ht="15" customHeight="1">
      <c r="B39" s="335" t="s">
        <v>106</v>
      </c>
      <c r="C39" s="284"/>
      <c r="D39" s="284"/>
      <c r="E39" s="214">
        <v>145.19999999999999</v>
      </c>
      <c r="F39" s="215">
        <f>E39/E33</f>
        <v>0.11538461538461536</v>
      </c>
      <c r="G39" s="341">
        <v>1</v>
      </c>
      <c r="H39" s="284"/>
      <c r="I39" s="213"/>
    </row>
    <row r="40" spans="2:11" ht="15" customHeight="1">
      <c r="B40" s="231"/>
      <c r="C40" s="237" t="s">
        <v>117</v>
      </c>
      <c r="D40" s="218"/>
      <c r="E40" s="214">
        <f>E33-(E39+E41)</f>
        <v>671.24991999999997</v>
      </c>
      <c r="F40" s="215">
        <f>E40/E33</f>
        <v>0.53341538461538451</v>
      </c>
      <c r="G40" s="341">
        <v>0.8</v>
      </c>
      <c r="H40" s="284"/>
      <c r="I40" s="213"/>
    </row>
    <row r="41" spans="2:11" ht="15" customHeight="1">
      <c r="B41" s="374" t="s">
        <v>107</v>
      </c>
      <c r="C41" s="284"/>
      <c r="D41" s="284"/>
      <c r="E41" s="214">
        <f>E33*0.3512</f>
        <v>441.95008000000007</v>
      </c>
      <c r="F41" s="215">
        <f>E41/E33</f>
        <v>0.35120000000000001</v>
      </c>
      <c r="G41" s="341">
        <v>0.6</v>
      </c>
      <c r="H41" s="284"/>
      <c r="I41" s="213"/>
    </row>
    <row r="42" spans="2:11" ht="15" customHeight="1">
      <c r="B42" s="354" t="s">
        <v>83</v>
      </c>
      <c r="C42" s="259"/>
      <c r="D42" s="259"/>
      <c r="E42" s="170">
        <f>SUM(E39:E41)</f>
        <v>1258.4000000000001</v>
      </c>
      <c r="F42" s="171">
        <f>F39+F41+F40</f>
        <v>0.99999999999999989</v>
      </c>
      <c r="G42" s="350">
        <f>F41*G41+F39*G39+F40*G40</f>
        <v>0.75283692307692296</v>
      </c>
      <c r="H42" s="259"/>
      <c r="I42" s="216"/>
    </row>
    <row r="43" spans="2:11" ht="15" customHeight="1">
      <c r="B43" s="173"/>
      <c r="C43" s="173"/>
      <c r="D43" s="173"/>
      <c r="E43" s="173"/>
      <c r="F43" s="173"/>
      <c r="G43" s="173"/>
      <c r="H43" s="173"/>
      <c r="I43" s="173"/>
    </row>
    <row r="44" spans="2:11" ht="15" customHeight="1">
      <c r="B44" s="384" t="s">
        <v>122</v>
      </c>
      <c r="C44" s="284"/>
      <c r="D44" s="284"/>
      <c r="E44" s="284"/>
      <c r="F44" s="284"/>
      <c r="G44" s="284"/>
      <c r="H44" s="284"/>
      <c r="I44" s="284"/>
    </row>
    <row r="45" spans="2:11" ht="15" customHeight="1">
      <c r="B45" s="328" t="s">
        <v>109</v>
      </c>
      <c r="C45" s="329"/>
      <c r="D45" s="329"/>
      <c r="E45" s="323" t="s">
        <v>119</v>
      </c>
      <c r="F45" s="284"/>
      <c r="G45" s="163" t="s">
        <v>87</v>
      </c>
      <c r="H45" s="338" t="s">
        <v>120</v>
      </c>
      <c r="I45" s="253"/>
      <c r="K45" s="203" t="s">
        <v>123</v>
      </c>
    </row>
    <row r="46" spans="2:11" ht="15" customHeight="1">
      <c r="B46" s="331" t="s">
        <v>89</v>
      </c>
      <c r="C46" s="284"/>
      <c r="D46" s="284"/>
      <c r="E46" s="323" t="s">
        <v>90</v>
      </c>
      <c r="F46" s="284"/>
      <c r="G46" s="163" t="s">
        <v>91</v>
      </c>
      <c r="H46" s="336" t="s">
        <v>49</v>
      </c>
      <c r="I46" s="253"/>
    </row>
    <row r="47" spans="2:11" ht="15" customHeight="1">
      <c r="B47" s="331" t="s">
        <v>93</v>
      </c>
      <c r="C47" s="284"/>
      <c r="D47" s="284"/>
      <c r="E47" s="365">
        <v>430.76</v>
      </c>
      <c r="F47" s="284"/>
      <c r="G47" s="163" t="s">
        <v>94</v>
      </c>
      <c r="H47" s="357" t="s">
        <v>95</v>
      </c>
      <c r="I47" s="253"/>
      <c r="K47" s="203"/>
    </row>
    <row r="48" spans="2:11" ht="15" customHeight="1">
      <c r="B48" s="164"/>
      <c r="C48" s="325" t="s">
        <v>113</v>
      </c>
      <c r="D48" s="284"/>
      <c r="E48" s="347">
        <v>7120000</v>
      </c>
      <c r="F48" s="284"/>
      <c r="G48" s="163" t="s">
        <v>114</v>
      </c>
      <c r="H48" s="361">
        <f>E48/E47</f>
        <v>16528.92561983471</v>
      </c>
      <c r="I48" s="253"/>
      <c r="J48" s="221"/>
      <c r="K48" s="221">
        <f>H48*4.84</f>
        <v>80000</v>
      </c>
    </row>
    <row r="49" spans="2:11" ht="15" customHeight="1">
      <c r="B49" s="165"/>
      <c r="C49" s="325" t="s">
        <v>115</v>
      </c>
      <c r="D49" s="284"/>
      <c r="E49" s="332" t="s">
        <v>116</v>
      </c>
      <c r="F49" s="284"/>
      <c r="G49" s="163" t="s">
        <v>98</v>
      </c>
      <c r="H49" s="344">
        <f ca="1">TODAY()</f>
        <v>45842</v>
      </c>
      <c r="I49" s="253"/>
    </row>
    <row r="50" spans="2:11" ht="15" customHeight="1">
      <c r="B50" s="165"/>
      <c r="C50" s="325" t="s">
        <v>96</v>
      </c>
      <c r="D50" s="284"/>
      <c r="E50" s="326" t="s">
        <v>124</v>
      </c>
      <c r="F50" s="284"/>
      <c r="G50" s="163" t="s">
        <v>100</v>
      </c>
      <c r="H50" s="355"/>
      <c r="I50" s="253"/>
      <c r="K50" s="238"/>
    </row>
    <row r="51" spans="2:11" ht="15" customHeight="1">
      <c r="B51" s="342" t="s">
        <v>101</v>
      </c>
      <c r="C51" s="284"/>
      <c r="D51" s="284"/>
      <c r="E51" s="284"/>
      <c r="F51" s="284"/>
      <c r="G51" s="284"/>
      <c r="H51" s="284"/>
      <c r="I51" s="253"/>
    </row>
    <row r="52" spans="2:11" ht="15" customHeight="1">
      <c r="B52" s="324" t="s">
        <v>102</v>
      </c>
      <c r="C52" s="284"/>
      <c r="D52" s="284"/>
      <c r="E52" s="166" t="s">
        <v>103</v>
      </c>
      <c r="F52" s="166" t="s">
        <v>104</v>
      </c>
      <c r="G52" s="337" t="s">
        <v>105</v>
      </c>
      <c r="H52" s="284"/>
      <c r="I52" s="167"/>
    </row>
    <row r="53" spans="2:11" ht="15" customHeight="1">
      <c r="B53" s="335" t="s">
        <v>106</v>
      </c>
      <c r="C53" s="284"/>
      <c r="D53" s="284"/>
      <c r="E53" s="168">
        <v>145.19999999999999</v>
      </c>
      <c r="F53" s="169">
        <f>E53/E47</f>
        <v>0.33707865168539325</v>
      </c>
      <c r="G53" s="327">
        <v>1</v>
      </c>
      <c r="H53" s="284"/>
      <c r="I53" s="167"/>
    </row>
    <row r="54" spans="2:11" ht="15" customHeight="1">
      <c r="B54" s="231"/>
      <c r="C54" s="237" t="s">
        <v>117</v>
      </c>
      <c r="D54" s="192"/>
      <c r="E54" s="168">
        <f>E47-E53-E55</f>
        <v>133.71710000000002</v>
      </c>
      <c r="F54" s="169">
        <f>E54/E47</f>
        <v>0.31042134831460677</v>
      </c>
      <c r="G54" s="327">
        <v>0.8</v>
      </c>
      <c r="H54" s="284"/>
      <c r="I54" s="167"/>
    </row>
    <row r="55" spans="2:11" ht="15" customHeight="1">
      <c r="B55" s="200"/>
      <c r="C55" s="201" t="s">
        <v>107</v>
      </c>
      <c r="D55" s="192"/>
      <c r="E55" s="168">
        <f>E47*0.3525</f>
        <v>151.84289999999999</v>
      </c>
      <c r="F55" s="169">
        <f>E55/E47</f>
        <v>0.35249999999999998</v>
      </c>
      <c r="G55" s="327">
        <v>0.6</v>
      </c>
      <c r="H55" s="284"/>
      <c r="I55" s="167"/>
    </row>
    <row r="56" spans="2:11" ht="15" customHeight="1">
      <c r="B56" s="354" t="s">
        <v>83</v>
      </c>
      <c r="C56" s="259"/>
      <c r="D56" s="259"/>
      <c r="E56" s="170">
        <f>SUM(E53:E55)</f>
        <v>430.76</v>
      </c>
      <c r="F56" s="171">
        <f>SUM(F53:F55)</f>
        <v>1</v>
      </c>
      <c r="G56" s="350">
        <f>F53*G53+F55*G55+F54*G54</f>
        <v>0.79691573033707863</v>
      </c>
      <c r="H56" s="259"/>
      <c r="I56" s="172"/>
    </row>
    <row r="57" spans="2:11" ht="15" customHeight="1">
      <c r="B57" s="173"/>
      <c r="C57" s="173"/>
      <c r="D57" s="173"/>
      <c r="E57" s="173"/>
      <c r="F57" s="173"/>
      <c r="G57" s="173"/>
      <c r="H57" s="173"/>
      <c r="I57" s="173"/>
    </row>
    <row r="58" spans="2:11" ht="15" customHeight="1">
      <c r="B58" s="348" t="s">
        <v>125</v>
      </c>
      <c r="C58" s="284"/>
      <c r="D58" s="284"/>
      <c r="E58" s="284"/>
      <c r="F58" s="284"/>
      <c r="G58" s="284"/>
      <c r="H58" s="284"/>
      <c r="I58" s="284"/>
      <c r="K58" s="203"/>
    </row>
    <row r="59" spans="2:11" ht="15" customHeight="1">
      <c r="B59" s="328" t="s">
        <v>109</v>
      </c>
      <c r="C59" s="329"/>
      <c r="D59" s="329"/>
      <c r="E59" s="323" t="s">
        <v>126</v>
      </c>
      <c r="F59" s="284"/>
      <c r="G59" s="163" t="s">
        <v>87</v>
      </c>
      <c r="H59" s="367" t="s">
        <v>127</v>
      </c>
      <c r="I59" s="253"/>
      <c r="K59" s="203" t="s">
        <v>128</v>
      </c>
    </row>
    <row r="60" spans="2:11" ht="15" customHeight="1">
      <c r="B60" s="331" t="s">
        <v>89</v>
      </c>
      <c r="C60" s="284"/>
      <c r="D60" s="284"/>
      <c r="E60" s="323" t="s">
        <v>90</v>
      </c>
      <c r="F60" s="284"/>
      <c r="G60" s="163" t="s">
        <v>91</v>
      </c>
      <c r="H60" s="336" t="s">
        <v>49</v>
      </c>
      <c r="I60" s="253"/>
    </row>
    <row r="61" spans="2:11" ht="15" customHeight="1">
      <c r="B61" s="331" t="s">
        <v>93</v>
      </c>
      <c r="C61" s="284"/>
      <c r="D61" s="284"/>
      <c r="E61" s="369">
        <v>626</v>
      </c>
      <c r="F61" s="284"/>
      <c r="G61" s="163" t="s">
        <v>94</v>
      </c>
      <c r="H61" s="336" t="s">
        <v>129</v>
      </c>
      <c r="I61" s="253"/>
    </row>
    <row r="62" spans="2:11" ht="15" customHeight="1">
      <c r="B62" s="164"/>
      <c r="C62" s="325" t="s">
        <v>113</v>
      </c>
      <c r="D62" s="284"/>
      <c r="E62" s="378">
        <v>10500000</v>
      </c>
      <c r="F62" s="284"/>
      <c r="G62" s="163" t="s">
        <v>114</v>
      </c>
      <c r="H62" s="330">
        <f>E62/E61</f>
        <v>16773.162939297126</v>
      </c>
      <c r="I62" s="253"/>
      <c r="J62" s="221"/>
      <c r="K62" s="221">
        <f>H62*4.84</f>
        <v>81182.108626198082</v>
      </c>
    </row>
    <row r="63" spans="2:11" ht="15" customHeight="1">
      <c r="B63" s="165"/>
      <c r="C63" s="325" t="s">
        <v>115</v>
      </c>
      <c r="D63" s="284"/>
      <c r="E63" s="375" t="s">
        <v>116</v>
      </c>
      <c r="F63" s="284"/>
      <c r="G63" s="163" t="s">
        <v>98</v>
      </c>
      <c r="H63" s="344">
        <f ca="1">TODAY()</f>
        <v>45842</v>
      </c>
      <c r="I63" s="253"/>
    </row>
    <row r="64" spans="2:11" ht="15" customHeight="1">
      <c r="B64" s="165"/>
      <c r="C64" s="325" t="s">
        <v>96</v>
      </c>
      <c r="D64" s="284"/>
      <c r="E64" s="326" t="s">
        <v>97</v>
      </c>
      <c r="F64" s="284"/>
      <c r="G64" s="163" t="s">
        <v>100</v>
      </c>
      <c r="H64" s="355"/>
      <c r="I64" s="253"/>
      <c r="K64" s="238"/>
    </row>
    <row r="65" spans="2:11" ht="15" customHeight="1">
      <c r="B65" s="342" t="s">
        <v>101</v>
      </c>
      <c r="C65" s="284"/>
      <c r="D65" s="284"/>
      <c r="E65" s="284"/>
      <c r="F65" s="284"/>
      <c r="G65" s="284"/>
      <c r="H65" s="284"/>
      <c r="I65" s="253"/>
    </row>
    <row r="66" spans="2:11" ht="15" customHeight="1">
      <c r="B66" s="324" t="s">
        <v>102</v>
      </c>
      <c r="C66" s="284"/>
      <c r="D66" s="284"/>
      <c r="E66" s="166" t="s">
        <v>103</v>
      </c>
      <c r="F66" s="166" t="s">
        <v>104</v>
      </c>
      <c r="G66" s="337" t="s">
        <v>105</v>
      </c>
      <c r="H66" s="284"/>
      <c r="I66" s="167"/>
    </row>
    <row r="67" spans="2:11" ht="15" customHeight="1">
      <c r="B67" s="199"/>
      <c r="C67" s="237" t="s">
        <v>106</v>
      </c>
      <c r="D67" s="166"/>
      <c r="E67" s="168">
        <v>193</v>
      </c>
      <c r="F67" s="169">
        <f>E67/E61</f>
        <v>0.30830670926517573</v>
      </c>
      <c r="G67" s="327">
        <v>1</v>
      </c>
      <c r="H67" s="284"/>
      <c r="I67" s="167"/>
    </row>
    <row r="68" spans="2:11" ht="15" customHeight="1">
      <c r="B68" s="199"/>
      <c r="C68" s="235" t="s">
        <v>130</v>
      </c>
      <c r="D68" s="166"/>
      <c r="E68" s="168">
        <v>170</v>
      </c>
      <c r="F68" s="169">
        <f>E68/E61</f>
        <v>0.27156549520766771</v>
      </c>
      <c r="G68" s="327">
        <v>0.9</v>
      </c>
      <c r="H68" s="284"/>
      <c r="I68" s="167"/>
    </row>
    <row r="69" spans="2:11" ht="15" customHeight="1">
      <c r="B69" s="376" t="s">
        <v>107</v>
      </c>
      <c r="C69" s="284"/>
      <c r="D69" s="284"/>
      <c r="E69" s="168">
        <f>E61-E67-E68</f>
        <v>263</v>
      </c>
      <c r="F69" s="169">
        <f>E69/E61</f>
        <v>0.42012779552715657</v>
      </c>
      <c r="G69" s="327">
        <v>0.6</v>
      </c>
      <c r="H69" s="284"/>
      <c r="I69" s="167"/>
    </row>
    <row r="70" spans="2:11" ht="15" customHeight="1">
      <c r="B70" s="354" t="s">
        <v>83</v>
      </c>
      <c r="C70" s="259"/>
      <c r="D70" s="259"/>
      <c r="E70" s="170">
        <f>SUM(E67:E69)</f>
        <v>626</v>
      </c>
      <c r="F70" s="171">
        <f>SUM(F67:F69)</f>
        <v>1</v>
      </c>
      <c r="G70" s="350">
        <f>F67*G67+F69*G69+F68*G68</f>
        <v>0.80479233226837055</v>
      </c>
      <c r="H70" s="259"/>
      <c r="I70" s="172"/>
    </row>
    <row r="71" spans="2:11" ht="15" customHeight="1">
      <c r="B71" s="173"/>
      <c r="C71" s="173"/>
      <c r="D71" s="173"/>
      <c r="E71" s="173"/>
      <c r="F71" s="173"/>
      <c r="G71" s="173"/>
      <c r="H71" s="173"/>
      <c r="I71" s="173"/>
    </row>
    <row r="72" spans="2:11" ht="15" customHeight="1">
      <c r="B72" s="348" t="s">
        <v>131</v>
      </c>
      <c r="C72" s="284"/>
      <c r="D72" s="284"/>
      <c r="E72" s="284"/>
      <c r="F72" s="284"/>
      <c r="G72" s="284"/>
      <c r="H72" s="284"/>
      <c r="I72" s="284"/>
    </row>
    <row r="73" spans="2:11" ht="15" customHeight="1">
      <c r="B73" s="328" t="s">
        <v>109</v>
      </c>
      <c r="C73" s="329"/>
      <c r="D73" s="329"/>
      <c r="E73" s="326" t="s">
        <v>132</v>
      </c>
      <c r="F73" s="284"/>
      <c r="G73" s="163" t="s">
        <v>87</v>
      </c>
      <c r="H73" s="338" t="s">
        <v>133</v>
      </c>
      <c r="I73" s="253"/>
      <c r="K73" s="203" t="s">
        <v>134</v>
      </c>
    </row>
    <row r="74" spans="2:11" ht="15" customHeight="1">
      <c r="B74" s="331" t="s">
        <v>89</v>
      </c>
      <c r="C74" s="284"/>
      <c r="D74" s="284"/>
      <c r="E74" s="326" t="s">
        <v>135</v>
      </c>
      <c r="F74" s="284"/>
      <c r="G74" s="163" t="s">
        <v>91</v>
      </c>
      <c r="H74" s="336" t="s">
        <v>49</v>
      </c>
      <c r="I74" s="253"/>
    </row>
    <row r="75" spans="2:11" ht="15" customHeight="1">
      <c r="B75" s="331" t="s">
        <v>93</v>
      </c>
      <c r="C75" s="284"/>
      <c r="D75" s="284"/>
      <c r="E75" s="388">
        <f>730 *4.84</f>
        <v>3533.2</v>
      </c>
      <c r="F75" s="284"/>
      <c r="G75" s="163" t="s">
        <v>94</v>
      </c>
      <c r="H75" s="357" t="s">
        <v>95</v>
      </c>
      <c r="I75" s="253"/>
    </row>
    <row r="76" spans="2:11" ht="15" customHeight="1">
      <c r="B76" s="164"/>
      <c r="C76" s="325" t="s">
        <v>113</v>
      </c>
      <c r="D76" s="284"/>
      <c r="E76" s="347">
        <v>60000000</v>
      </c>
      <c r="F76" s="284"/>
      <c r="G76" s="163" t="s">
        <v>114</v>
      </c>
      <c r="H76" s="361">
        <f>E76/E75</f>
        <v>16981.772897090457</v>
      </c>
      <c r="I76" s="253"/>
    </row>
    <row r="77" spans="2:11" ht="15" customHeight="1">
      <c r="B77" s="165"/>
      <c r="C77" s="325" t="s">
        <v>115</v>
      </c>
      <c r="D77" s="284"/>
      <c r="E77" s="359" t="s">
        <v>116</v>
      </c>
      <c r="F77" s="284"/>
      <c r="G77" s="163" t="s">
        <v>98</v>
      </c>
      <c r="H77" s="344">
        <f ca="1">TODAY()</f>
        <v>45842</v>
      </c>
      <c r="I77" s="253"/>
      <c r="K77" s="221">
        <f>H76*4.84</f>
        <v>82191.780821917811</v>
      </c>
    </row>
    <row r="78" spans="2:11" ht="15" customHeight="1">
      <c r="B78" s="165"/>
      <c r="C78" s="325" t="s">
        <v>96</v>
      </c>
      <c r="D78" s="284"/>
      <c r="E78" s="326" t="s">
        <v>136</v>
      </c>
      <c r="F78" s="284"/>
      <c r="G78" s="163" t="s">
        <v>100</v>
      </c>
      <c r="H78" s="355"/>
      <c r="I78" s="253"/>
    </row>
    <row r="79" spans="2:11" ht="15" customHeight="1">
      <c r="B79" s="342" t="s">
        <v>101</v>
      </c>
      <c r="C79" s="284"/>
      <c r="D79" s="284"/>
      <c r="E79" s="284"/>
      <c r="F79" s="284"/>
      <c r="G79" s="284"/>
      <c r="H79" s="284"/>
      <c r="I79" s="253"/>
      <c r="K79" s="238"/>
    </row>
    <row r="80" spans="2:11" ht="15" customHeight="1">
      <c r="B80" s="324" t="s">
        <v>102</v>
      </c>
      <c r="C80" s="284"/>
      <c r="D80" s="284"/>
      <c r="E80" s="166" t="s">
        <v>103</v>
      </c>
      <c r="F80" s="166" t="s">
        <v>104</v>
      </c>
      <c r="G80" s="337" t="s">
        <v>105</v>
      </c>
      <c r="H80" s="284"/>
      <c r="I80" s="167"/>
    </row>
    <row r="81" spans="2:11" ht="15" customHeight="1">
      <c r="B81" s="334" t="s">
        <v>130</v>
      </c>
      <c r="C81" s="284"/>
      <c r="D81" s="284"/>
      <c r="E81" s="168">
        <f>410*4.84</f>
        <v>1984.3999999999999</v>
      </c>
      <c r="F81" s="169">
        <f>E81/E75</f>
        <v>0.56164383561643838</v>
      </c>
      <c r="G81" s="327">
        <v>0.9</v>
      </c>
      <c r="H81" s="284"/>
      <c r="I81" s="167"/>
    </row>
    <row r="82" spans="2:11" ht="15" customHeight="1">
      <c r="B82" s="334" t="s">
        <v>117</v>
      </c>
      <c r="C82" s="284"/>
      <c r="D82" s="284"/>
      <c r="E82" s="168">
        <f>E75-(E81+E83)</f>
        <v>306.52687999999989</v>
      </c>
      <c r="F82" s="169">
        <f>E82/E75</f>
        <v>8.6756164383561624E-2</v>
      </c>
      <c r="G82" s="327">
        <v>0.8</v>
      </c>
      <c r="H82" s="284"/>
      <c r="I82" s="167"/>
    </row>
    <row r="83" spans="2:11" ht="15" customHeight="1">
      <c r="B83" s="198"/>
      <c r="C83" s="197" t="s">
        <v>107</v>
      </c>
      <c r="D83" s="192"/>
      <c r="E83" s="223">
        <f>E75*0.3516</f>
        <v>1242.2731200000001</v>
      </c>
      <c r="F83" s="169">
        <f>E83/E75</f>
        <v>0.35160000000000002</v>
      </c>
      <c r="G83" s="327">
        <v>0.6</v>
      </c>
      <c r="H83" s="284"/>
      <c r="I83" s="167"/>
    </row>
    <row r="84" spans="2:11" ht="15" customHeight="1">
      <c r="B84" s="354" t="s">
        <v>83</v>
      </c>
      <c r="C84" s="259"/>
      <c r="D84" s="259"/>
      <c r="E84" s="170">
        <f>SUM(E81:E83)</f>
        <v>3533.2</v>
      </c>
      <c r="F84" s="171">
        <f>SUM(F81:F83)</f>
        <v>1</v>
      </c>
      <c r="G84" s="350">
        <f>F81*G81+F83*G83+F82*G82</f>
        <v>0.78584438356164399</v>
      </c>
      <c r="H84" s="259"/>
      <c r="I84" s="172"/>
    </row>
    <row r="85" spans="2:11" ht="15" customHeight="1">
      <c r="B85" s="173"/>
      <c r="C85" s="173"/>
      <c r="D85" s="173"/>
      <c r="E85" s="173"/>
      <c r="F85" s="173"/>
      <c r="G85" s="173"/>
      <c r="H85" s="173"/>
      <c r="I85" s="173"/>
    </row>
    <row r="86" spans="2:11" ht="15" customHeight="1">
      <c r="B86" s="348" t="s">
        <v>137</v>
      </c>
      <c r="C86" s="284"/>
      <c r="D86" s="284"/>
      <c r="E86" s="284"/>
      <c r="F86" s="284"/>
      <c r="G86" s="284"/>
      <c r="H86" s="284"/>
      <c r="I86" s="284"/>
      <c r="K86" s="203"/>
    </row>
    <row r="87" spans="2:11" ht="15" customHeight="1">
      <c r="B87" s="328" t="s">
        <v>109</v>
      </c>
      <c r="C87" s="329"/>
      <c r="D87" s="329"/>
      <c r="E87" s="323" t="s">
        <v>119</v>
      </c>
      <c r="F87" s="284"/>
      <c r="G87" s="163" t="s">
        <v>87</v>
      </c>
      <c r="H87" s="370" t="str">
        <f>H45</f>
        <v>(63) 99252-2282</v>
      </c>
      <c r="I87" s="253"/>
      <c r="K87" s="203" t="s">
        <v>138</v>
      </c>
    </row>
    <row r="88" spans="2:11" ht="15" customHeight="1">
      <c r="B88" s="331" t="s">
        <v>89</v>
      </c>
      <c r="C88" s="284"/>
      <c r="D88" s="284"/>
      <c r="E88" s="323" t="s">
        <v>90</v>
      </c>
      <c r="F88" s="284"/>
      <c r="G88" s="163" t="s">
        <v>91</v>
      </c>
      <c r="H88" s="336" t="s">
        <v>49</v>
      </c>
      <c r="I88" s="253"/>
    </row>
    <row r="89" spans="2:11" ht="15" customHeight="1">
      <c r="B89" s="331" t="s">
        <v>93</v>
      </c>
      <c r="C89" s="284"/>
      <c r="D89" s="284"/>
      <c r="E89" s="377">
        <f>733*4.84</f>
        <v>3547.72</v>
      </c>
      <c r="F89" s="284"/>
      <c r="G89" s="163" t="s">
        <v>94</v>
      </c>
      <c r="H89" s="357" t="s">
        <v>95</v>
      </c>
      <c r="I89" s="253"/>
    </row>
    <row r="90" spans="2:11" ht="15" customHeight="1">
      <c r="B90" s="164"/>
      <c r="C90" s="325" t="s">
        <v>113</v>
      </c>
      <c r="D90" s="284"/>
      <c r="E90" s="358">
        <v>43980000</v>
      </c>
      <c r="F90" s="284"/>
      <c r="G90" s="163" t="s">
        <v>114</v>
      </c>
      <c r="H90" s="330">
        <f>E90/E89</f>
        <v>12396.694214876034</v>
      </c>
      <c r="I90" s="253"/>
      <c r="K90" s="221">
        <f>H90*4.84</f>
        <v>60000</v>
      </c>
    </row>
    <row r="91" spans="2:11" ht="15" customHeight="1">
      <c r="B91" s="165"/>
      <c r="C91" s="325" t="s">
        <v>115</v>
      </c>
      <c r="D91" s="284"/>
      <c r="E91" s="333" t="s">
        <v>116</v>
      </c>
      <c r="F91" s="284"/>
      <c r="G91" s="163" t="s">
        <v>98</v>
      </c>
      <c r="H91" s="344">
        <f ca="1">TODAY()</f>
        <v>45842</v>
      </c>
      <c r="I91" s="253"/>
    </row>
    <row r="92" spans="2:11" ht="15" customHeight="1">
      <c r="B92" s="165"/>
      <c r="C92" s="325" t="s">
        <v>96</v>
      </c>
      <c r="D92" s="284"/>
      <c r="E92" s="326" t="s">
        <v>97</v>
      </c>
      <c r="F92" s="284"/>
      <c r="G92" s="163" t="s">
        <v>100</v>
      </c>
      <c r="H92" s="355"/>
      <c r="I92" s="253"/>
    </row>
    <row r="93" spans="2:11" ht="15" customHeight="1">
      <c r="B93" s="342" t="s">
        <v>101</v>
      </c>
      <c r="C93" s="284"/>
      <c r="D93" s="284"/>
      <c r="E93" s="284"/>
      <c r="F93" s="284"/>
      <c r="G93" s="284"/>
      <c r="H93" s="284"/>
      <c r="I93" s="253"/>
    </row>
    <row r="94" spans="2:11" ht="15" customHeight="1">
      <c r="B94" s="324" t="s">
        <v>102</v>
      </c>
      <c r="C94" s="284"/>
      <c r="D94" s="284"/>
      <c r="E94" s="166" t="s">
        <v>103</v>
      </c>
      <c r="F94" s="166" t="s">
        <v>104</v>
      </c>
      <c r="G94" s="337" t="s">
        <v>105</v>
      </c>
      <c r="H94" s="284"/>
      <c r="I94" s="167"/>
    </row>
    <row r="95" spans="2:11" ht="15" customHeight="1">
      <c r="B95" s="335" t="s">
        <v>106</v>
      </c>
      <c r="C95" s="284"/>
      <c r="D95" s="284"/>
      <c r="E95" s="234">
        <v>1100</v>
      </c>
      <c r="F95" s="169">
        <f>E95/E89</f>
        <v>0.31005829095870024</v>
      </c>
      <c r="G95" s="345">
        <v>1</v>
      </c>
      <c r="H95" s="284"/>
      <c r="I95" s="206"/>
    </row>
    <row r="96" spans="2:11" ht="15" customHeight="1">
      <c r="B96" s="231"/>
      <c r="C96" s="233" t="s">
        <v>117</v>
      </c>
      <c r="D96" s="232"/>
      <c r="E96" s="234">
        <f>E89-E95-E97</f>
        <v>1201.0511919999999</v>
      </c>
      <c r="F96" s="169">
        <f>E96/E89</f>
        <v>0.33854170904129977</v>
      </c>
      <c r="G96" s="345">
        <v>0.8</v>
      </c>
      <c r="H96" s="284"/>
      <c r="I96" s="206"/>
    </row>
    <row r="97" spans="2:12" ht="15" customHeight="1">
      <c r="B97" s="346" t="s">
        <v>107</v>
      </c>
      <c r="C97" s="284"/>
      <c r="D97" s="284"/>
      <c r="E97" s="168">
        <f>E89*0.3514</f>
        <v>1246.6688079999999</v>
      </c>
      <c r="F97" s="169">
        <f>E97/E89</f>
        <v>0.35139999999999999</v>
      </c>
      <c r="G97" s="327">
        <v>0.6</v>
      </c>
      <c r="H97" s="284"/>
      <c r="I97" s="167"/>
      <c r="K97" s="207"/>
      <c r="L97" s="207"/>
    </row>
    <row r="98" spans="2:12" ht="15" customHeight="1">
      <c r="B98" s="354" t="s">
        <v>83</v>
      </c>
      <c r="C98" s="259"/>
      <c r="D98" s="259"/>
      <c r="E98" s="170">
        <f>SUM(E95:E97)</f>
        <v>3547.72</v>
      </c>
      <c r="F98" s="171">
        <f>SUM(F95:F97)</f>
        <v>1</v>
      </c>
      <c r="G98" s="350">
        <f>F97*G97+F95*G95+F96*G96</f>
        <v>0.79173165819173996</v>
      </c>
      <c r="H98" s="259"/>
      <c r="I98" s="172"/>
      <c r="K98" s="207"/>
      <c r="L98" s="207"/>
    </row>
    <row r="99" spans="2:12" ht="15" customHeight="1">
      <c r="B99" s="173"/>
      <c r="C99" s="173"/>
      <c r="D99" s="173"/>
      <c r="E99" s="173"/>
      <c r="F99" s="173"/>
      <c r="G99" s="173"/>
      <c r="H99" s="173"/>
      <c r="I99" s="173"/>
      <c r="K99" s="207">
        <f>60*4.84</f>
        <v>290.39999999999998</v>
      </c>
      <c r="L99" s="207"/>
    </row>
    <row r="100" spans="2:12" ht="15" customHeight="1">
      <c r="B100" s="386"/>
      <c r="C100" s="284"/>
      <c r="D100" s="284"/>
      <c r="E100" s="284"/>
      <c r="F100" s="284"/>
      <c r="G100" s="284"/>
      <c r="H100" s="284"/>
      <c r="I100" s="284"/>
      <c r="K100" s="207"/>
      <c r="L100" s="207"/>
    </row>
    <row r="101" spans="2:12" ht="15" customHeight="1">
      <c r="B101" s="348" t="s">
        <v>139</v>
      </c>
      <c r="C101" s="284"/>
      <c r="D101" s="284"/>
      <c r="E101" s="284"/>
      <c r="F101" s="284"/>
      <c r="G101" s="284"/>
      <c r="H101" s="284"/>
      <c r="I101" s="284"/>
      <c r="K101" s="207"/>
      <c r="L101" s="207"/>
    </row>
    <row r="102" spans="2:12" ht="15" customHeight="1">
      <c r="B102" s="328" t="s">
        <v>109</v>
      </c>
      <c r="C102" s="329"/>
      <c r="D102" s="329"/>
      <c r="E102" s="339"/>
      <c r="F102" s="284"/>
      <c r="G102" s="163" t="s">
        <v>87</v>
      </c>
      <c r="H102" s="387"/>
      <c r="I102" s="253"/>
      <c r="K102" s="207"/>
      <c r="L102" s="207"/>
    </row>
    <row r="103" spans="2:12" ht="15" customHeight="1">
      <c r="B103" s="331" t="s">
        <v>89</v>
      </c>
      <c r="C103" s="284"/>
      <c r="D103" s="284"/>
      <c r="E103" s="349"/>
      <c r="F103" s="284"/>
      <c r="G103" s="163" t="s">
        <v>91</v>
      </c>
      <c r="H103" s="356"/>
      <c r="I103" s="253"/>
    </row>
    <row r="104" spans="2:12" ht="15" customHeight="1">
      <c r="B104" s="331" t="s">
        <v>93</v>
      </c>
      <c r="C104" s="284"/>
      <c r="D104" s="284"/>
      <c r="E104" s="369"/>
      <c r="F104" s="284"/>
      <c r="G104" s="163" t="s">
        <v>94</v>
      </c>
      <c r="H104" s="380"/>
      <c r="I104" s="253"/>
    </row>
    <row r="105" spans="2:12" ht="15" customHeight="1">
      <c r="B105" s="164"/>
      <c r="C105" s="325" t="s">
        <v>113</v>
      </c>
      <c r="D105" s="284"/>
      <c r="E105" s="358"/>
      <c r="F105" s="284"/>
      <c r="G105" s="163" t="s">
        <v>114</v>
      </c>
      <c r="H105" s="330"/>
      <c r="I105" s="253"/>
    </row>
    <row r="106" spans="2:12" ht="15" customHeight="1">
      <c r="B106" s="165"/>
      <c r="C106" s="325" t="s">
        <v>115</v>
      </c>
      <c r="D106" s="284"/>
      <c r="E106" s="333"/>
      <c r="F106" s="284"/>
      <c r="G106" s="163" t="s">
        <v>98</v>
      </c>
      <c r="H106" s="343"/>
      <c r="I106" s="253"/>
    </row>
    <row r="107" spans="2:12" ht="15" customHeight="1">
      <c r="B107" s="165"/>
      <c r="C107" s="325" t="s">
        <v>96</v>
      </c>
      <c r="D107" s="284"/>
      <c r="E107" s="379"/>
      <c r="F107" s="284"/>
      <c r="G107" s="163" t="s">
        <v>100</v>
      </c>
      <c r="H107" s="355"/>
      <c r="I107" s="253"/>
    </row>
    <row r="108" spans="2:12" ht="15" customHeight="1">
      <c r="B108" s="342" t="s">
        <v>101</v>
      </c>
      <c r="C108" s="284"/>
      <c r="D108" s="284"/>
      <c r="E108" s="284"/>
      <c r="F108" s="284"/>
      <c r="G108" s="284"/>
      <c r="H108" s="284"/>
      <c r="I108" s="253"/>
    </row>
    <row r="109" spans="2:12" ht="15" customHeight="1">
      <c r="B109" s="324" t="s">
        <v>102</v>
      </c>
      <c r="C109" s="284"/>
      <c r="D109" s="284"/>
      <c r="E109" s="166" t="s">
        <v>103</v>
      </c>
      <c r="F109" s="166" t="s">
        <v>104</v>
      </c>
      <c r="G109" s="337" t="s">
        <v>105</v>
      </c>
      <c r="H109" s="284"/>
      <c r="I109" s="167"/>
    </row>
    <row r="110" spans="2:12" ht="15" customHeight="1">
      <c r="B110" s="346" t="s">
        <v>106</v>
      </c>
      <c r="C110" s="284"/>
      <c r="D110" s="284"/>
      <c r="E110" s="168"/>
      <c r="F110" s="169"/>
      <c r="G110" s="327"/>
      <c r="H110" s="284"/>
      <c r="I110" s="167"/>
    </row>
    <row r="111" spans="2:12" ht="15" customHeight="1">
      <c r="B111" s="346" t="s">
        <v>107</v>
      </c>
      <c r="C111" s="284"/>
      <c r="D111" s="284"/>
      <c r="E111" s="168"/>
      <c r="F111" s="169"/>
      <c r="G111" s="327"/>
      <c r="H111" s="284"/>
      <c r="I111" s="167"/>
    </row>
    <row r="112" spans="2:12" ht="15" customHeight="1">
      <c r="B112" s="354" t="s">
        <v>83</v>
      </c>
      <c r="C112" s="259"/>
      <c r="D112" s="259"/>
      <c r="E112" s="170">
        <f>SUM(E110:E111)</f>
        <v>0</v>
      </c>
      <c r="F112" s="171">
        <f>SUM(F110:F111)</f>
        <v>0</v>
      </c>
      <c r="G112" s="350">
        <f>F110*G110+F111*G111</f>
        <v>0</v>
      </c>
      <c r="H112" s="259"/>
      <c r="I112" s="172"/>
    </row>
  </sheetData>
  <mergeCells count="229">
    <mergeCell ref="G112:H112"/>
    <mergeCell ref="E48:F48"/>
    <mergeCell ref="E22:F22"/>
    <mergeCell ref="H102:I102"/>
    <mergeCell ref="G110:H110"/>
    <mergeCell ref="H19:I19"/>
    <mergeCell ref="H34:I34"/>
    <mergeCell ref="H77:I77"/>
    <mergeCell ref="B19:D19"/>
    <mergeCell ref="B28:D28"/>
    <mergeCell ref="B59:D59"/>
    <mergeCell ref="B53:D53"/>
    <mergeCell ref="G41:H41"/>
    <mergeCell ref="B108:I108"/>
    <mergeCell ref="G54:H54"/>
    <mergeCell ref="G94:H94"/>
    <mergeCell ref="E61:F61"/>
    <mergeCell ref="H62:I62"/>
    <mergeCell ref="B56:D56"/>
    <mergeCell ref="B58:I58"/>
    <mergeCell ref="B25:D25"/>
    <mergeCell ref="E75:F75"/>
    <mergeCell ref="H89:I89"/>
    <mergeCell ref="G84:H84"/>
    <mergeCell ref="B98:D98"/>
    <mergeCell ref="B100:I100"/>
    <mergeCell ref="H48:I48"/>
    <mergeCell ref="B82:D82"/>
    <mergeCell ref="G56:H56"/>
    <mergeCell ref="B93:I93"/>
    <mergeCell ref="B94:D94"/>
    <mergeCell ref="G42:H42"/>
    <mergeCell ref="G98:H98"/>
    <mergeCell ref="G97:H97"/>
    <mergeCell ref="C90:D90"/>
    <mergeCell ref="H91:I91"/>
    <mergeCell ref="E87:F87"/>
    <mergeCell ref="G52:H52"/>
    <mergeCell ref="H78:I78"/>
    <mergeCell ref="E90:F90"/>
    <mergeCell ref="B84:D84"/>
    <mergeCell ref="G82:H82"/>
    <mergeCell ref="B80:D80"/>
    <mergeCell ref="G81:H81"/>
    <mergeCell ref="G80:H80"/>
    <mergeCell ref="E78:F78"/>
    <mergeCell ref="C77:D77"/>
    <mergeCell ref="B75:D75"/>
    <mergeCell ref="E107:F107"/>
    <mergeCell ref="C34:D34"/>
    <mergeCell ref="B102:D102"/>
    <mergeCell ref="H104:I104"/>
    <mergeCell ref="E34:F34"/>
    <mergeCell ref="C105:D105"/>
    <mergeCell ref="G28:H28"/>
    <mergeCell ref="B3:I3"/>
    <mergeCell ref="H4:I4"/>
    <mergeCell ref="H45:I45"/>
    <mergeCell ref="E18:F18"/>
    <mergeCell ref="B70:D70"/>
    <mergeCell ref="B72:I72"/>
    <mergeCell ref="B39:D39"/>
    <mergeCell ref="E89:F89"/>
    <mergeCell ref="C36:D36"/>
    <mergeCell ref="B44:I44"/>
    <mergeCell ref="B104:D104"/>
    <mergeCell ref="E36:F36"/>
    <mergeCell ref="G83:H83"/>
    <mergeCell ref="H60:I60"/>
    <mergeCell ref="H6:I6"/>
    <mergeCell ref="H47:I47"/>
    <mergeCell ref="G10:H10"/>
    <mergeCell ref="E74:F74"/>
    <mergeCell ref="C76:D76"/>
    <mergeCell ref="B16:I16"/>
    <mergeCell ref="E33:F33"/>
    <mergeCell ref="E31:F31"/>
    <mergeCell ref="H33:I33"/>
    <mergeCell ref="B33:D33"/>
    <mergeCell ref="B27:D27"/>
    <mergeCell ref="E46:F46"/>
    <mergeCell ref="C62:D62"/>
    <mergeCell ref="E62:F62"/>
    <mergeCell ref="C49:D49"/>
    <mergeCell ref="H50:I50"/>
    <mergeCell ref="E7:F7"/>
    <mergeCell ref="G55:H55"/>
    <mergeCell ref="E73:F73"/>
    <mergeCell ref="H7:I7"/>
    <mergeCell ref="H8:I8"/>
    <mergeCell ref="B13:D13"/>
    <mergeCell ref="H31:I31"/>
    <mergeCell ref="C50:D50"/>
    <mergeCell ref="B66:D66"/>
    <mergeCell ref="H21:I21"/>
    <mergeCell ref="B41:D41"/>
    <mergeCell ref="B17:D17"/>
    <mergeCell ref="H18:I18"/>
    <mergeCell ref="H36:I36"/>
    <mergeCell ref="B61:D61"/>
    <mergeCell ref="C63:D63"/>
    <mergeCell ref="E63:F63"/>
    <mergeCell ref="G24:H24"/>
    <mergeCell ref="B45:D45"/>
    <mergeCell ref="B69:D69"/>
    <mergeCell ref="E47:F47"/>
    <mergeCell ref="B42:D42"/>
    <mergeCell ref="B47:D47"/>
    <mergeCell ref="H49:I49"/>
    <mergeCell ref="H107:I107"/>
    <mergeCell ref="C78:D78"/>
    <mergeCell ref="C35:D35"/>
    <mergeCell ref="B24:D24"/>
    <mergeCell ref="G12:H12"/>
    <mergeCell ref="B14:D14"/>
    <mergeCell ref="H32:I32"/>
    <mergeCell ref="H59:I59"/>
    <mergeCell ref="B88:D88"/>
    <mergeCell ref="G40:H40"/>
    <mergeCell ref="E45:F45"/>
    <mergeCell ref="C21:D21"/>
    <mergeCell ref="H22:I22"/>
    <mergeCell ref="E21:F21"/>
    <mergeCell ref="H74:I74"/>
    <mergeCell ref="H61:I61"/>
    <mergeCell ref="E104:F104"/>
    <mergeCell ref="G38:H38"/>
    <mergeCell ref="H105:I105"/>
    <mergeCell ref="G26:H26"/>
    <mergeCell ref="H87:I87"/>
    <mergeCell ref="B87:D87"/>
    <mergeCell ref="G53:H53"/>
    <mergeCell ref="E20:F20"/>
    <mergeCell ref="B5:D5"/>
    <mergeCell ref="B79:I79"/>
    <mergeCell ref="G25:H25"/>
    <mergeCell ref="B46:D46"/>
    <mergeCell ref="H20:I20"/>
    <mergeCell ref="G66:H66"/>
    <mergeCell ref="H76:I76"/>
    <mergeCell ref="G27:H27"/>
    <mergeCell ref="C8:D8"/>
    <mergeCell ref="B60:D60"/>
    <mergeCell ref="E17:F17"/>
    <mergeCell ref="B65:I65"/>
    <mergeCell ref="B32:D32"/>
    <mergeCell ref="B12:D12"/>
    <mergeCell ref="E8:F8"/>
    <mergeCell ref="H5:I5"/>
    <mergeCell ref="E19:F19"/>
    <mergeCell ref="E59:F59"/>
    <mergeCell ref="B51:I51"/>
    <mergeCell ref="E6:F6"/>
    <mergeCell ref="C22:D22"/>
    <mergeCell ref="B30:I30"/>
    <mergeCell ref="H17:I17"/>
    <mergeCell ref="C7:D7"/>
    <mergeCell ref="B112:D112"/>
    <mergeCell ref="H92:I92"/>
    <mergeCell ref="G13:H13"/>
    <mergeCell ref="B101:I101"/>
    <mergeCell ref="B18:D18"/>
    <mergeCell ref="E5:F5"/>
    <mergeCell ref="G68:H68"/>
    <mergeCell ref="B23:I23"/>
    <mergeCell ref="B74:D74"/>
    <mergeCell ref="H64:I64"/>
    <mergeCell ref="B89:D89"/>
    <mergeCell ref="E49:F49"/>
    <mergeCell ref="H103:I103"/>
    <mergeCell ref="H75:I75"/>
    <mergeCell ref="B10:D10"/>
    <mergeCell ref="C91:D91"/>
    <mergeCell ref="E91:F91"/>
    <mergeCell ref="B111:D111"/>
    <mergeCell ref="E105:F105"/>
    <mergeCell ref="B110:D110"/>
    <mergeCell ref="C92:D92"/>
    <mergeCell ref="E77:F77"/>
    <mergeCell ref="E50:F50"/>
    <mergeCell ref="H35:I35"/>
    <mergeCell ref="G111:H111"/>
    <mergeCell ref="B9:I9"/>
    <mergeCell ref="B73:D73"/>
    <mergeCell ref="E92:F92"/>
    <mergeCell ref="H88:I88"/>
    <mergeCell ref="H106:I106"/>
    <mergeCell ref="H63:I63"/>
    <mergeCell ref="G95:H95"/>
    <mergeCell ref="C20:D20"/>
    <mergeCell ref="B97:D97"/>
    <mergeCell ref="E76:F76"/>
    <mergeCell ref="B37:I37"/>
    <mergeCell ref="B86:I86"/>
    <mergeCell ref="E103:F103"/>
    <mergeCell ref="B103:D103"/>
    <mergeCell ref="G14:H14"/>
    <mergeCell ref="G70:H70"/>
    <mergeCell ref="E32:F32"/>
    <mergeCell ref="B52:D52"/>
    <mergeCell ref="E60:F60"/>
    <mergeCell ref="G96:H96"/>
    <mergeCell ref="B11:D11"/>
    <mergeCell ref="G11:H11"/>
    <mergeCell ref="C107:D107"/>
    <mergeCell ref="L3:M3"/>
    <mergeCell ref="E88:F88"/>
    <mergeCell ref="B38:D38"/>
    <mergeCell ref="B109:D109"/>
    <mergeCell ref="C64:D64"/>
    <mergeCell ref="E64:F64"/>
    <mergeCell ref="G67:H67"/>
    <mergeCell ref="B31:D31"/>
    <mergeCell ref="H90:I90"/>
    <mergeCell ref="B6:D6"/>
    <mergeCell ref="C106:D106"/>
    <mergeCell ref="E35:F35"/>
    <mergeCell ref="E106:F106"/>
    <mergeCell ref="B81:D81"/>
    <mergeCell ref="B95:D95"/>
    <mergeCell ref="G69:H69"/>
    <mergeCell ref="H46:I46"/>
    <mergeCell ref="G109:H109"/>
    <mergeCell ref="H73:I73"/>
    <mergeCell ref="B4:D4"/>
    <mergeCell ref="E102:F102"/>
    <mergeCell ref="E4:F4"/>
    <mergeCell ref="C48:D48"/>
    <mergeCell ref="G39:H39"/>
  </mergeCells>
  <pageMargins left="0.511811024" right="0.511811024" top="0.78740157499999996" bottom="0.78740157499999996" header="0.31496062000000002" footer="0.31496062000000002"/>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M10"/>
  <sheetViews>
    <sheetView workbookViewId="0">
      <selection activeCell="G20" sqref="G20"/>
    </sheetView>
  </sheetViews>
  <sheetFormatPr defaultColWidth="9.140625" defaultRowHeight="12.75"/>
  <cols>
    <col min="1" max="1" width="9.140625" style="152" customWidth="1"/>
    <col min="2" max="2" width="12" style="152" bestFit="1" customWidth="1"/>
    <col min="3" max="3" width="11.42578125" style="152" bestFit="1" customWidth="1"/>
    <col min="4" max="4" width="17.42578125" style="152" bestFit="1" customWidth="1"/>
    <col min="5" max="5" width="11.28515625" style="152" bestFit="1" customWidth="1"/>
    <col min="6" max="6" width="8.42578125" style="152" bestFit="1" customWidth="1"/>
    <col min="7" max="7" width="10.7109375" style="152" customWidth="1"/>
    <col min="8" max="8" width="11.85546875" style="152" bestFit="1" customWidth="1"/>
    <col min="9" max="9" width="11.7109375" style="152" bestFit="1" customWidth="1"/>
    <col min="10" max="10" width="10.7109375" style="152" customWidth="1"/>
    <col min="11" max="11" width="30.7109375" style="152" customWidth="1"/>
    <col min="12" max="12" width="17.42578125" style="152" bestFit="1" customWidth="1"/>
    <col min="13" max="13" width="9.140625" style="152" customWidth="1"/>
    <col min="14" max="16384" width="9.140625" style="152"/>
  </cols>
  <sheetData>
    <row r="3" spans="2:13" ht="13.5" customHeight="1">
      <c r="B3" s="174" t="s">
        <v>140</v>
      </c>
      <c r="C3" s="174" t="s">
        <v>80</v>
      </c>
      <c r="D3" s="175" t="s">
        <v>141</v>
      </c>
      <c r="E3" s="174" t="s">
        <v>142</v>
      </c>
      <c r="F3" s="175" t="s">
        <v>143</v>
      </c>
      <c r="G3" s="174" t="s">
        <v>75</v>
      </c>
      <c r="H3" s="175" t="s">
        <v>32</v>
      </c>
      <c r="I3" s="175" t="s">
        <v>22</v>
      </c>
      <c r="J3" s="174" t="s">
        <v>144</v>
      </c>
      <c r="K3" s="175" t="s">
        <v>145</v>
      </c>
      <c r="L3" s="225" t="s">
        <v>146</v>
      </c>
    </row>
    <row r="4" spans="2:13">
      <c r="B4" s="180">
        <v>1</v>
      </c>
      <c r="C4" s="181">
        <f>AMOSTRAS!E19</f>
        <v>16940</v>
      </c>
      <c r="D4" s="182">
        <f>AMOSTRAS!E20</f>
        <v>180000000</v>
      </c>
      <c r="E4" s="182">
        <f t="shared" ref="E4:E9" si="0">D4/C4</f>
        <v>10625.737898465171</v>
      </c>
      <c r="F4" s="183">
        <f>AMOSTRAS!G28</f>
        <v>0.76428571428571423</v>
      </c>
      <c r="G4" s="184">
        <v>1</v>
      </c>
      <c r="H4" s="184">
        <v>1</v>
      </c>
      <c r="I4" s="184">
        <v>1.1000000000000001</v>
      </c>
      <c r="J4" s="184">
        <v>0.9</v>
      </c>
      <c r="K4" s="224" t="str">
        <f>AMOSTRAS!E17</f>
        <v>Aliança Imoveis</v>
      </c>
      <c r="L4" s="222" t="str">
        <f>AMOSTRAS!H17</f>
        <v>(16) 3234-9000</v>
      </c>
      <c r="M4" s="205"/>
    </row>
    <row r="5" spans="2:13">
      <c r="B5" s="180">
        <v>2</v>
      </c>
      <c r="C5" s="181">
        <f>AMOSTRAS!E33</f>
        <v>1258.4000000000001</v>
      </c>
      <c r="D5" s="182">
        <f>AMOSTRAS!E34</f>
        <v>16900000</v>
      </c>
      <c r="E5" s="182">
        <f t="shared" si="0"/>
        <v>13429.752066115701</v>
      </c>
      <c r="F5" s="183">
        <f>AMOSTRAS!G42</f>
        <v>0.75283692307692296</v>
      </c>
      <c r="G5" s="184">
        <v>1</v>
      </c>
      <c r="H5" s="184">
        <v>1</v>
      </c>
      <c r="I5" s="184">
        <v>1.1000000000000001</v>
      </c>
      <c r="J5" s="184">
        <v>0.9</v>
      </c>
      <c r="K5" s="224" t="str">
        <f>AMOSTRAS!E31</f>
        <v>Ruraliza Negócios</v>
      </c>
      <c r="L5" s="222" t="str">
        <f>AMOSTRAS!H31</f>
        <v>(63) 99252-2282</v>
      </c>
      <c r="M5" s="205"/>
    </row>
    <row r="6" spans="2:13">
      <c r="B6" s="180">
        <v>3</v>
      </c>
      <c r="C6" s="181">
        <f>AMOSTRAS!E47</f>
        <v>430.76</v>
      </c>
      <c r="D6" s="182">
        <f>AMOSTRAS!E48</f>
        <v>7120000</v>
      </c>
      <c r="E6" s="182">
        <f t="shared" si="0"/>
        <v>16528.92561983471</v>
      </c>
      <c r="F6" s="183">
        <f>AMOSTRAS!G56</f>
        <v>0.79691573033707863</v>
      </c>
      <c r="G6" s="184">
        <v>1</v>
      </c>
      <c r="H6" s="184">
        <v>1</v>
      </c>
      <c r="I6" s="184">
        <v>1.2</v>
      </c>
      <c r="J6" s="184">
        <v>0.9</v>
      </c>
      <c r="K6" s="224" t="str">
        <f>AMOSTRAS!E45</f>
        <v>Ruraliza Negócios</v>
      </c>
      <c r="L6" s="222" t="str">
        <f>AMOSTRAS!H45</f>
        <v>(63) 99252-2282</v>
      </c>
      <c r="M6" s="205"/>
    </row>
    <row r="7" spans="2:13">
      <c r="B7" s="180">
        <v>4</v>
      </c>
      <c r="C7" s="181">
        <f>AMOSTRAS!E61</f>
        <v>626</v>
      </c>
      <c r="D7" s="182">
        <f>AMOSTRAS!E62</f>
        <v>10500000</v>
      </c>
      <c r="E7" s="182">
        <f t="shared" si="0"/>
        <v>16773.162939297126</v>
      </c>
      <c r="F7" s="183">
        <f>AMOSTRAS!G70</f>
        <v>0.80479233226837055</v>
      </c>
      <c r="G7" s="184">
        <v>1</v>
      </c>
      <c r="H7" s="184">
        <v>1.1000000000000001</v>
      </c>
      <c r="I7" s="184">
        <v>1.1000000000000001</v>
      </c>
      <c r="J7" s="184">
        <v>0.9</v>
      </c>
      <c r="K7" s="224" t="str">
        <f>AMOSTRAS!E59</f>
        <v>Centro De Negócios Invistta Ltda Me</v>
      </c>
      <c r="L7" s="222" t="str">
        <f>AMOSTRAS!H59</f>
        <v>(63) 3215-0568</v>
      </c>
      <c r="M7" s="205"/>
    </row>
    <row r="8" spans="2:13">
      <c r="B8" s="180">
        <v>5</v>
      </c>
      <c r="C8" s="181">
        <f>AMOSTRAS!E75</f>
        <v>3533.2</v>
      </c>
      <c r="D8" s="182">
        <f>AMOSTRAS!E76</f>
        <v>60000000</v>
      </c>
      <c r="E8" s="182">
        <f t="shared" si="0"/>
        <v>16981.772897090457</v>
      </c>
      <c r="F8" s="183">
        <f>AMOSTRAS!G84</f>
        <v>0.78584438356164399</v>
      </c>
      <c r="G8" s="184">
        <v>1.1000000000000001</v>
      </c>
      <c r="H8" s="184">
        <v>1</v>
      </c>
      <c r="I8" s="184">
        <v>1.2</v>
      </c>
      <c r="J8" s="184">
        <v>0.9</v>
      </c>
      <c r="K8" s="224" t="str">
        <f>AMOSTRAS!E73</f>
        <v>Lider Imoveis</v>
      </c>
      <c r="L8" s="222" t="str">
        <f>AMOSTRAS!H73</f>
        <v>(34) 3231-0019</v>
      </c>
      <c r="M8" s="205"/>
    </row>
    <row r="9" spans="2:13">
      <c r="B9" s="180">
        <v>6</v>
      </c>
      <c r="C9" s="181">
        <f>AMOSTRAS!E89</f>
        <v>3547.72</v>
      </c>
      <c r="D9" s="182">
        <f>AMOSTRAS!E90</f>
        <v>43980000</v>
      </c>
      <c r="E9" s="182">
        <f t="shared" si="0"/>
        <v>12396.694214876034</v>
      </c>
      <c r="F9" s="183">
        <f>AMOSTRAS!G98</f>
        <v>0.79173165819173996</v>
      </c>
      <c r="G9" s="184">
        <v>1</v>
      </c>
      <c r="H9" s="184">
        <v>1</v>
      </c>
      <c r="I9" s="184">
        <v>1.1000000000000001</v>
      </c>
      <c r="J9" s="184">
        <v>0.9</v>
      </c>
      <c r="K9" s="224" t="str">
        <f>AMOSTRAS!E87</f>
        <v>Ruraliza Negócios</v>
      </c>
      <c r="L9" s="222" t="str">
        <f>AMOSTRAS!H87</f>
        <v>(63) 99252-2282</v>
      </c>
    </row>
    <row r="10" spans="2:13">
      <c r="I10" s="184"/>
    </row>
  </sheetData>
  <pageMargins left="0.511811024" right="0.511811024" top="0.78740157499999996" bottom="0.78740157499999996" header="0.31496062000000002" footer="0.3149606200000000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29"/>
  <sheetViews>
    <sheetView showGridLines="0" zoomScale="70" zoomScaleNormal="70" zoomScaleSheetLayoutView="100" workbookViewId="0">
      <selection activeCell="A3" sqref="A3:R26"/>
    </sheetView>
  </sheetViews>
  <sheetFormatPr defaultColWidth="9.140625" defaultRowHeight="12.75"/>
  <cols>
    <col min="1" max="1" width="11.42578125" style="124" customWidth="1"/>
    <col min="2" max="2" width="28.140625" style="124" customWidth="1"/>
    <col min="3" max="3" width="22.140625" style="124" customWidth="1"/>
    <col min="4" max="4" width="19.42578125" style="124" bestFit="1" customWidth="1"/>
    <col min="5" max="5" width="14" style="124" customWidth="1"/>
    <col min="6" max="6" width="19.7109375" style="124" bestFit="1" customWidth="1"/>
    <col min="7" max="7" width="9.7109375" style="124" customWidth="1"/>
    <col min="8" max="8" width="11.5703125" style="124" customWidth="1"/>
    <col min="9" max="9" width="9.85546875" style="124" customWidth="1"/>
    <col min="10" max="10" width="10" style="124" bestFit="1" customWidth="1"/>
    <col min="11" max="11" width="9.7109375" style="124" bestFit="1" customWidth="1"/>
    <col min="12" max="12" width="12.140625" style="124" customWidth="1"/>
    <col min="13" max="14" width="10.85546875" style="124" bestFit="1" customWidth="1"/>
    <col min="15" max="15" width="11.85546875" style="124" bestFit="1" customWidth="1"/>
    <col min="16" max="16" width="20.7109375" style="124" customWidth="1"/>
    <col min="17" max="17" width="19.140625" style="124" bestFit="1" customWidth="1"/>
    <col min="18" max="18" width="15.85546875" style="124" bestFit="1" customWidth="1"/>
    <col min="19" max="19" width="9.140625" style="124" customWidth="1"/>
    <col min="20" max="16384" width="9.140625" style="124"/>
  </cols>
  <sheetData>
    <row r="1" spans="1:18" ht="15" customHeight="1">
      <c r="E1" s="396"/>
      <c r="F1" s="391"/>
      <c r="G1" s="391"/>
      <c r="H1" s="391"/>
      <c r="I1" s="391"/>
      <c r="J1" s="391"/>
      <c r="K1" s="391"/>
      <c r="L1" s="391"/>
      <c r="M1" s="391"/>
      <c r="N1" s="391"/>
    </row>
    <row r="2" spans="1:18" ht="13.5" customHeight="1" thickBot="1"/>
    <row r="3" spans="1:18" ht="45" customHeight="1">
      <c r="A3" s="125" t="s">
        <v>147</v>
      </c>
      <c r="B3" s="126" t="s">
        <v>148</v>
      </c>
      <c r="C3" s="126" t="s">
        <v>149</v>
      </c>
      <c r="D3" s="126" t="s">
        <v>150</v>
      </c>
      <c r="E3" s="126" t="s">
        <v>151</v>
      </c>
      <c r="F3" s="126" t="s">
        <v>152</v>
      </c>
      <c r="G3" s="126" t="s">
        <v>153</v>
      </c>
      <c r="H3" s="126" t="s">
        <v>154</v>
      </c>
      <c r="I3" s="126" t="s">
        <v>155</v>
      </c>
      <c r="J3" s="126" t="s">
        <v>156</v>
      </c>
      <c r="K3" s="126" t="s">
        <v>157</v>
      </c>
      <c r="L3" s="126" t="s">
        <v>158</v>
      </c>
      <c r="M3" s="127" t="s">
        <v>159</v>
      </c>
      <c r="N3" s="127" t="s">
        <v>160</v>
      </c>
      <c r="O3" s="126" t="s">
        <v>161</v>
      </c>
      <c r="P3" s="126" t="s">
        <v>162</v>
      </c>
      <c r="Q3" s="126" t="s">
        <v>163</v>
      </c>
      <c r="R3" s="128" t="s">
        <v>164</v>
      </c>
    </row>
    <row r="4" spans="1:18" ht="15" customHeight="1">
      <c r="A4" s="129">
        <v>1</v>
      </c>
      <c r="B4" s="130" t="str">
        <f>AMOSTRAS!E18</f>
        <v>Guaraí - TO</v>
      </c>
      <c r="C4" s="130" t="s">
        <v>165</v>
      </c>
      <c r="D4" s="131">
        <f>AMOSTRAS!E20</f>
        <v>180000000</v>
      </c>
      <c r="E4" s="132">
        <f>AMOSTRAS!E19</f>
        <v>16940</v>
      </c>
      <c r="F4" s="176">
        <f t="shared" ref="F4:F9" si="0">D4/E4</f>
        <v>10625.737898465171</v>
      </c>
      <c r="G4" s="178">
        <f>AMOSTRAS!G28</f>
        <v>0.76428571428571423</v>
      </c>
      <c r="H4" s="134">
        <f>IF(G10=" ","",$G$10-G4+1)</f>
        <v>0.98681115835406374</v>
      </c>
      <c r="I4" s="178">
        <f>QUADRO!G4</f>
        <v>1</v>
      </c>
      <c r="J4" s="135">
        <f>IF(I10=" ","",$I$10-I4+1)</f>
        <v>1.1000000000000001</v>
      </c>
      <c r="K4" s="178">
        <f>QUADRO!H4</f>
        <v>1</v>
      </c>
      <c r="L4" s="135">
        <f>IF(K10=" ","",$K$10-K4+1)</f>
        <v>0.9</v>
      </c>
      <c r="M4" s="178">
        <f>QUADRO!I4</f>
        <v>1.1000000000000001</v>
      </c>
      <c r="N4" s="134">
        <f>IF(M10=" ","",$M$10-M4+1)</f>
        <v>1.0999999999999999</v>
      </c>
      <c r="O4" s="178">
        <f>QUADRO!J4</f>
        <v>0.9</v>
      </c>
      <c r="P4" s="134">
        <f t="shared" ref="P4:P9" si="1">TRUNC(IF(O4=" ","",H4*J4*L4*N4*O4),4)</f>
        <v>0.96709999999999996</v>
      </c>
      <c r="Q4" s="131">
        <f t="shared" ref="Q4:Q9" si="2">TRUNC(IF(F4="","",F4*P4),2)</f>
        <v>10276.15</v>
      </c>
      <c r="R4" s="177" t="str">
        <f t="shared" ref="R4:R9" si="3">IF(AND(Q4&lt;=$Q$12+$Q$13,Q4&gt;=$Q$12-$Q$13),Q4,"*")</f>
        <v>*</v>
      </c>
    </row>
    <row r="5" spans="1:18" ht="15" customHeight="1">
      <c r="A5" s="129">
        <v>2</v>
      </c>
      <c r="B5" s="130" t="str">
        <f>AMOSTRAS!E32</f>
        <v>Guaraí - TO</v>
      </c>
      <c r="C5" s="130" t="s">
        <v>166</v>
      </c>
      <c r="D5" s="131">
        <f>AMOSTRAS!E34</f>
        <v>16900000</v>
      </c>
      <c r="E5" s="132">
        <f>AMOSTRAS!E33</f>
        <v>1258.4000000000001</v>
      </c>
      <c r="F5" s="176">
        <f t="shared" si="0"/>
        <v>13429.752066115701</v>
      </c>
      <c r="G5" s="178">
        <f>AMOSTRAS!G42</f>
        <v>0.75283692307692296</v>
      </c>
      <c r="H5" s="134">
        <f>IF(G10=" ","",$G$10-G5+1)</f>
        <v>0.99825994956285502</v>
      </c>
      <c r="I5" s="178">
        <f>QUADRO!G5</f>
        <v>1</v>
      </c>
      <c r="J5" s="135">
        <f>IF(I10=" ","",$I$10-I5+1)</f>
        <v>1.1000000000000001</v>
      </c>
      <c r="K5" s="178">
        <f>QUADRO!H5</f>
        <v>1</v>
      </c>
      <c r="L5" s="135">
        <f>IF(K10=" ","",$K$10-K5+1)</f>
        <v>0.9</v>
      </c>
      <c r="M5" s="178">
        <f>QUADRO!I5</f>
        <v>1.1000000000000001</v>
      </c>
      <c r="N5" s="134">
        <f>IF(M10=" ","",$M$10-M5+1)</f>
        <v>1.0999999999999999</v>
      </c>
      <c r="O5" s="178">
        <f>QUADRO!J5</f>
        <v>0.9</v>
      </c>
      <c r="P5" s="134">
        <f t="shared" si="1"/>
        <v>0.97829999999999995</v>
      </c>
      <c r="Q5" s="131">
        <f t="shared" si="2"/>
        <v>13138.32</v>
      </c>
      <c r="R5" s="177">
        <f t="shared" si="3"/>
        <v>13138.32</v>
      </c>
    </row>
    <row r="6" spans="1:18" ht="15" customHeight="1">
      <c r="A6" s="129">
        <v>3</v>
      </c>
      <c r="B6" s="130" t="str">
        <f>AMOSTRAS!E46</f>
        <v>Guaraí - TO</v>
      </c>
      <c r="C6" s="130" t="s">
        <v>167</v>
      </c>
      <c r="D6" s="131">
        <f>AMOSTRAS!E48</f>
        <v>7120000</v>
      </c>
      <c r="E6" s="132">
        <f>AMOSTRAS!E47</f>
        <v>430.76</v>
      </c>
      <c r="F6" s="176">
        <f t="shared" si="0"/>
        <v>16528.92561983471</v>
      </c>
      <c r="G6" s="178">
        <f>AMOSTRAS!G56</f>
        <v>0.79691573033707863</v>
      </c>
      <c r="H6" s="134">
        <f>IF(G10=" ","",$G$10-G6+1)</f>
        <v>0.95418114230269935</v>
      </c>
      <c r="I6" s="178">
        <f>QUADRO!G6</f>
        <v>1</v>
      </c>
      <c r="J6" s="135">
        <f>IF(I10=" ","",$I$10-I6+1)</f>
        <v>1.1000000000000001</v>
      </c>
      <c r="K6" s="178">
        <f>QUADRO!H6</f>
        <v>1</v>
      </c>
      <c r="L6" s="135">
        <f>IF(K10=" ","",$K$10-K6+1)</f>
        <v>0.9</v>
      </c>
      <c r="M6" s="178">
        <f>QUADRO!I6</f>
        <v>1.2</v>
      </c>
      <c r="N6" s="134">
        <f>IF(M10=" ","",$M$10-M6+1)</f>
        <v>1</v>
      </c>
      <c r="O6" s="178">
        <f>QUADRO!J6</f>
        <v>0.9</v>
      </c>
      <c r="P6" s="134">
        <f t="shared" si="1"/>
        <v>0.85009999999999997</v>
      </c>
      <c r="Q6" s="131">
        <f t="shared" si="2"/>
        <v>14051.23</v>
      </c>
      <c r="R6" s="177">
        <f t="shared" si="3"/>
        <v>14051.23</v>
      </c>
    </row>
    <row r="7" spans="1:18" ht="15" customHeight="1">
      <c r="A7" s="129">
        <v>4</v>
      </c>
      <c r="B7" s="130" t="str">
        <f>AMOSTRAS!E60</f>
        <v>Guaraí - TO</v>
      </c>
      <c r="C7" s="130" t="s">
        <v>168</v>
      </c>
      <c r="D7" s="131">
        <f>AMOSTRAS!E62</f>
        <v>10500000</v>
      </c>
      <c r="E7" s="132">
        <f>AMOSTRAS!E61</f>
        <v>626</v>
      </c>
      <c r="F7" s="176">
        <f t="shared" si="0"/>
        <v>16773.162939297126</v>
      </c>
      <c r="G7" s="178">
        <f>AMOSTRAS!G70</f>
        <v>0.80479233226837055</v>
      </c>
      <c r="H7" s="134">
        <f>IF(G11=" ","",$G$10-G7+1)</f>
        <v>0.94630454037140743</v>
      </c>
      <c r="I7" s="178">
        <f>QUADRO!G7</f>
        <v>1</v>
      </c>
      <c r="J7" s="135">
        <f>IF(I11=" ","",$I$10-I7+1)</f>
        <v>1.1000000000000001</v>
      </c>
      <c r="K7" s="178">
        <f>QUADRO!H7</f>
        <v>1.1000000000000001</v>
      </c>
      <c r="L7" s="135">
        <f>IF(K11=" ","",$K$10-K7+1)</f>
        <v>0.79999999999999993</v>
      </c>
      <c r="M7" s="178">
        <f>QUADRO!I7</f>
        <v>1.1000000000000001</v>
      </c>
      <c r="N7" s="134">
        <f>IF(M11=" ","",$M$10-M7+1)</f>
        <v>1.0999999999999999</v>
      </c>
      <c r="O7" s="178">
        <f>QUADRO!J7</f>
        <v>0.9</v>
      </c>
      <c r="P7" s="134">
        <f t="shared" si="1"/>
        <v>0.82440000000000002</v>
      </c>
      <c r="Q7" s="131">
        <f t="shared" si="2"/>
        <v>13827.79</v>
      </c>
      <c r="R7" s="177">
        <f t="shared" si="3"/>
        <v>13827.79</v>
      </c>
    </row>
    <row r="8" spans="1:18" ht="15" customHeight="1">
      <c r="A8" s="129">
        <v>5</v>
      </c>
      <c r="B8" s="130" t="str">
        <f>AMOSTRAS!E74</f>
        <v>Presidente Kennedy - TO</v>
      </c>
      <c r="C8" s="130" t="s">
        <v>169</v>
      </c>
      <c r="D8" s="131">
        <f>AMOSTRAS!E76</f>
        <v>60000000</v>
      </c>
      <c r="E8" s="132">
        <f>AMOSTRAS!E75</f>
        <v>3533.2</v>
      </c>
      <c r="F8" s="176">
        <f t="shared" si="0"/>
        <v>16981.772897090457</v>
      </c>
      <c r="G8" s="178">
        <f>AMOSTRAS!G84</f>
        <v>0.78584438356164399</v>
      </c>
      <c r="H8" s="134">
        <f>IF(G12=" ","",$G$10-G8+1)</f>
        <v>0.96525248907813399</v>
      </c>
      <c r="I8" s="178">
        <f>QUADRO!G8</f>
        <v>1.1000000000000001</v>
      </c>
      <c r="J8" s="135">
        <f>IF(I12=" ","",$I$10-I8+1)</f>
        <v>1</v>
      </c>
      <c r="K8" s="178">
        <f>QUADRO!H8</f>
        <v>1</v>
      </c>
      <c r="L8" s="135">
        <f>IF(K12=" ","",$K$10-K8+1)</f>
        <v>0.9</v>
      </c>
      <c r="M8" s="178">
        <f>QUADRO!I8</f>
        <v>1.2</v>
      </c>
      <c r="N8" s="134">
        <f>IF(M12=" ","",$M$10-M8+1)</f>
        <v>1</v>
      </c>
      <c r="O8" s="178">
        <f>QUADRO!J8</f>
        <v>0.9</v>
      </c>
      <c r="P8" s="134">
        <f t="shared" si="1"/>
        <v>0.78180000000000005</v>
      </c>
      <c r="Q8" s="131">
        <f t="shared" si="2"/>
        <v>13276.35</v>
      </c>
      <c r="R8" s="177">
        <f t="shared" si="3"/>
        <v>13276.35</v>
      </c>
    </row>
    <row r="9" spans="1:18" ht="15" customHeight="1">
      <c r="A9" s="129">
        <v>6</v>
      </c>
      <c r="B9" s="130" t="str">
        <f>AMOSTRAS!E88</f>
        <v>Guaraí - TO</v>
      </c>
      <c r="C9" s="130" t="s">
        <v>170</v>
      </c>
      <c r="D9" s="131">
        <f>AMOSTRAS!E90</f>
        <v>43980000</v>
      </c>
      <c r="E9" s="132">
        <f>AMOSTRAS!E89</f>
        <v>3547.72</v>
      </c>
      <c r="F9" s="176">
        <f t="shared" si="0"/>
        <v>12396.694214876034</v>
      </c>
      <c r="G9" s="178">
        <f>AMOSTRAS!G98</f>
        <v>0.79173165819173996</v>
      </c>
      <c r="H9" s="134">
        <f>IF(G13=" ","",$G$10-G9+1)</f>
        <v>0.95936521444803802</v>
      </c>
      <c r="I9" s="178">
        <f>QUADRO!G9</f>
        <v>1</v>
      </c>
      <c r="J9" s="135">
        <f>IF(I13=" ","",$I$10-I9+1)</f>
        <v>1.1000000000000001</v>
      </c>
      <c r="K9" s="178">
        <f>QUADRO!H9</f>
        <v>1</v>
      </c>
      <c r="L9" s="135">
        <f>IF(K13=" ","",$K$10-K9+1)</f>
        <v>0.9</v>
      </c>
      <c r="M9" s="178">
        <f>QUADRO!I9</f>
        <v>1.1000000000000001</v>
      </c>
      <c r="N9" s="134">
        <f>IF(M13=" ","",$M$10-M9+1)</f>
        <v>1.0999999999999999</v>
      </c>
      <c r="O9" s="178">
        <f>QUADRO!J9</f>
        <v>0.9</v>
      </c>
      <c r="P9" s="134">
        <f t="shared" si="1"/>
        <v>0.94020000000000004</v>
      </c>
      <c r="Q9" s="131">
        <f t="shared" si="2"/>
        <v>11655.37</v>
      </c>
      <c r="R9" s="177">
        <f t="shared" si="3"/>
        <v>11655.37</v>
      </c>
    </row>
    <row r="10" spans="1:18" ht="15" customHeight="1">
      <c r="A10" s="189" t="s">
        <v>171</v>
      </c>
      <c r="B10" s="190" t="str">
        <f>AMOSTRAS!E5</f>
        <v>Guaraí - TO</v>
      </c>
      <c r="C10" s="190" t="s">
        <v>172</v>
      </c>
      <c r="D10" s="144"/>
      <c r="E10" s="136"/>
      <c r="F10" s="137"/>
      <c r="G10" s="178">
        <f>AMOSTRAS!G14</f>
        <v>0.75109687263977798</v>
      </c>
      <c r="H10" s="138"/>
      <c r="I10" s="178">
        <v>1.1000000000000001</v>
      </c>
      <c r="J10" s="139"/>
      <c r="K10" s="178">
        <v>0.9</v>
      </c>
      <c r="L10" s="139"/>
      <c r="M10" s="178">
        <v>1.2</v>
      </c>
      <c r="N10" s="140"/>
      <c r="O10" s="136"/>
      <c r="P10" s="136"/>
      <c r="Q10" s="141"/>
      <c r="R10" s="142"/>
    </row>
    <row r="11" spans="1:18" ht="12.75" customHeight="1">
      <c r="A11" s="143"/>
      <c r="B11" s="144"/>
      <c r="C11" s="144"/>
      <c r="D11" s="144"/>
      <c r="E11" s="144"/>
      <c r="F11" s="144"/>
      <c r="G11" s="144"/>
      <c r="H11" s="144"/>
      <c r="I11" s="145"/>
      <c r="J11" s="145"/>
      <c r="K11" s="145"/>
      <c r="L11" s="145"/>
      <c r="M11" s="144"/>
      <c r="N11" s="144"/>
      <c r="O11" s="144"/>
      <c r="P11" s="144"/>
      <c r="Q11" s="144"/>
      <c r="R11" s="146"/>
    </row>
    <row r="12" spans="1:18" ht="14.25" customHeight="1">
      <c r="A12" s="389" t="s">
        <v>173</v>
      </c>
      <c r="B12" s="251"/>
      <c r="C12" s="397" t="s">
        <v>174</v>
      </c>
      <c r="D12" s="391"/>
      <c r="E12" s="391"/>
      <c r="F12" s="391"/>
      <c r="G12" s="391"/>
      <c r="H12" s="391"/>
      <c r="I12" s="391"/>
      <c r="J12" s="391"/>
      <c r="K12" s="391"/>
      <c r="L12" s="145"/>
      <c r="M12" s="144"/>
      <c r="N12" s="144"/>
      <c r="O12" s="144"/>
      <c r="P12" s="147" t="s">
        <v>175</v>
      </c>
      <c r="Q12" s="133">
        <f>TRUNC(AVERAGE(Q4:Q9),2)</f>
        <v>12704.2</v>
      </c>
      <c r="R12" s="146"/>
    </row>
    <row r="13" spans="1:18" ht="14.25" customHeight="1">
      <c r="A13" s="389" t="s">
        <v>176</v>
      </c>
      <c r="B13" s="251"/>
      <c r="C13" s="397" t="s">
        <v>177</v>
      </c>
      <c r="D13" s="391"/>
      <c r="E13" s="391"/>
      <c r="F13" s="391"/>
      <c r="G13" s="391"/>
      <c r="H13" s="391"/>
      <c r="I13" s="391"/>
      <c r="J13" s="391"/>
      <c r="K13" s="391"/>
      <c r="L13" s="144"/>
      <c r="M13" s="144"/>
      <c r="N13" s="144"/>
      <c r="O13" s="144"/>
      <c r="P13" s="147" t="s">
        <v>178</v>
      </c>
      <c r="Q13" s="133">
        <f>TRUNC(IF(Q12="","",_xlfn.STDEV.S(Q4:Q9)),2)</f>
        <v>1455.21</v>
      </c>
      <c r="R13" s="146"/>
    </row>
    <row r="14" spans="1:18" ht="14.25" customHeight="1">
      <c r="A14" s="389" t="str">
        <f>L3</f>
        <v>Benfeitorias Indexado³</v>
      </c>
      <c r="B14" s="251"/>
      <c r="C14" s="397" t="s">
        <v>179</v>
      </c>
      <c r="D14" s="391"/>
      <c r="E14" s="391"/>
      <c r="F14" s="391"/>
      <c r="G14" s="391"/>
      <c r="H14" s="391"/>
      <c r="I14" s="391"/>
      <c r="J14" s="391"/>
      <c r="K14" s="391"/>
      <c r="L14" s="144"/>
      <c r="M14" s="144"/>
      <c r="N14" s="144"/>
      <c r="O14" s="144"/>
      <c r="P14" s="147" t="s">
        <v>180</v>
      </c>
      <c r="Q14" s="133">
        <f>TRUNC(IF(Q12="","",Q12+Q13),2)</f>
        <v>14159.41</v>
      </c>
      <c r="R14" s="146"/>
    </row>
    <row r="15" spans="1:18" ht="14.25" customHeight="1">
      <c r="A15" s="389" t="s">
        <v>160</v>
      </c>
      <c r="B15" s="251"/>
      <c r="C15" s="397" t="s">
        <v>181</v>
      </c>
      <c r="D15" s="391"/>
      <c r="E15" s="391"/>
      <c r="F15" s="391"/>
      <c r="G15" s="391"/>
      <c r="H15" s="391"/>
      <c r="I15" s="391"/>
      <c r="J15" s="391"/>
      <c r="K15" s="391"/>
      <c r="L15" s="144"/>
      <c r="M15" s="144"/>
      <c r="N15" s="144"/>
      <c r="O15" s="144"/>
      <c r="P15" s="147" t="s">
        <v>182</v>
      </c>
      <c r="Q15" s="133">
        <f>TRUNC(IF(Q12="","",Q12-Q13),2)</f>
        <v>11248.99</v>
      </c>
      <c r="R15" s="146"/>
    </row>
    <row r="16" spans="1:18" ht="14.25" customHeight="1">
      <c r="A16" s="389" t="s">
        <v>162</v>
      </c>
      <c r="B16" s="251"/>
      <c r="C16" s="390" t="s">
        <v>183</v>
      </c>
      <c r="D16" s="391"/>
      <c r="E16" s="391"/>
      <c r="F16" s="391"/>
      <c r="G16" s="391"/>
      <c r="H16" s="391"/>
      <c r="I16" s="391"/>
      <c r="J16" s="391"/>
      <c r="K16" s="391"/>
      <c r="L16" s="144"/>
      <c r="M16" s="144"/>
      <c r="N16" s="144"/>
      <c r="O16" s="144"/>
      <c r="P16" s="144"/>
      <c r="Q16" s="144"/>
      <c r="R16" s="146"/>
    </row>
    <row r="17" spans="1:18" ht="28.5" customHeight="1">
      <c r="A17" s="389" t="s">
        <v>163</v>
      </c>
      <c r="B17" s="251"/>
      <c r="C17" s="390" t="s">
        <v>184</v>
      </c>
      <c r="D17" s="391"/>
      <c r="E17" s="391"/>
      <c r="F17" s="391"/>
      <c r="G17" s="391"/>
      <c r="H17" s="391"/>
      <c r="I17" s="391"/>
      <c r="J17" s="391"/>
      <c r="K17" s="391"/>
      <c r="L17" s="144"/>
      <c r="M17" s="147" t="s">
        <v>185</v>
      </c>
      <c r="N17" s="130">
        <v>4</v>
      </c>
      <c r="O17" s="144"/>
      <c r="P17" s="147" t="s">
        <v>186</v>
      </c>
      <c r="Q17" s="179">
        <f>TRUNC(AVERAGE(R4:R9),2)</f>
        <v>13189.81</v>
      </c>
      <c r="R17" s="146"/>
    </row>
    <row r="18" spans="1:18" ht="14.25" customHeight="1">
      <c r="A18" s="389" t="s">
        <v>180</v>
      </c>
      <c r="B18" s="251"/>
      <c r="C18" s="390" t="s">
        <v>187</v>
      </c>
      <c r="D18" s="391"/>
      <c r="E18" s="391"/>
      <c r="F18" s="391"/>
      <c r="G18" s="391"/>
      <c r="H18" s="391"/>
      <c r="I18" s="391"/>
      <c r="J18" s="391"/>
      <c r="K18" s="391"/>
      <c r="L18" s="144"/>
      <c r="M18" s="147" t="s">
        <v>188</v>
      </c>
      <c r="N18" s="130">
        <v>0.27100000000000002</v>
      </c>
      <c r="O18" s="144"/>
      <c r="P18" s="144"/>
      <c r="Q18" s="144"/>
      <c r="R18" s="146"/>
    </row>
    <row r="19" spans="1:18" ht="28.5" customHeight="1">
      <c r="A19" s="389" t="s">
        <v>182</v>
      </c>
      <c r="B19" s="251"/>
      <c r="C19" s="390" t="s">
        <v>189</v>
      </c>
      <c r="D19" s="391"/>
      <c r="E19" s="391"/>
      <c r="F19" s="391"/>
      <c r="G19" s="391"/>
      <c r="H19" s="391"/>
      <c r="I19" s="391"/>
      <c r="J19" s="391"/>
      <c r="K19" s="391"/>
      <c r="L19" s="144"/>
      <c r="M19" s="144"/>
      <c r="N19" s="144"/>
      <c r="O19" s="144"/>
      <c r="P19" s="147" t="s">
        <v>190</v>
      </c>
      <c r="Q19" s="133">
        <f>TRUNC(_xlfn.STDEV.S(R4:R9),2)</f>
        <v>937.24</v>
      </c>
      <c r="R19" s="146"/>
    </row>
    <row r="20" spans="1:18" ht="14.25" customHeight="1">
      <c r="A20" s="389" t="s">
        <v>164</v>
      </c>
      <c r="B20" s="251"/>
      <c r="C20" s="390" t="s">
        <v>191</v>
      </c>
      <c r="D20" s="391"/>
      <c r="E20" s="391"/>
      <c r="F20" s="391"/>
      <c r="G20" s="391"/>
      <c r="H20" s="391"/>
      <c r="I20" s="391"/>
      <c r="J20" s="391"/>
      <c r="K20" s="391"/>
      <c r="L20" s="144"/>
      <c r="M20" s="144"/>
      <c r="N20" s="144"/>
      <c r="O20" s="144"/>
      <c r="P20" s="147" t="s">
        <v>192</v>
      </c>
      <c r="Q20" s="191">
        <f>TRUNC(N18*(Q19/(SQRT(N17))),2)</f>
        <v>126.99</v>
      </c>
      <c r="R20" s="146"/>
    </row>
    <row r="21" spans="1:18" ht="14.25" customHeight="1">
      <c r="A21" s="389" t="s">
        <v>186</v>
      </c>
      <c r="B21" s="251"/>
      <c r="C21" s="390" t="s">
        <v>193</v>
      </c>
      <c r="D21" s="391"/>
      <c r="E21" s="391"/>
      <c r="F21" s="391"/>
      <c r="G21" s="391"/>
      <c r="H21" s="391"/>
      <c r="I21" s="391"/>
      <c r="J21" s="391"/>
      <c r="K21" s="391"/>
      <c r="L21" s="144"/>
      <c r="M21" s="144"/>
      <c r="N21" s="144"/>
      <c r="O21" s="144"/>
      <c r="P21" s="149" t="s">
        <v>194</v>
      </c>
      <c r="Q21" s="133">
        <f>TRUNC(IF(Q17="","",Q17+Q20),2)</f>
        <v>13316.8</v>
      </c>
      <c r="R21" s="146"/>
    </row>
    <row r="22" spans="1:18" ht="14.25" customHeight="1">
      <c r="A22" s="389" t="s">
        <v>192</v>
      </c>
      <c r="B22" s="251"/>
      <c r="C22" s="398" t="s">
        <v>195</v>
      </c>
      <c r="D22" s="391"/>
      <c r="E22" s="391"/>
      <c r="F22" s="391"/>
      <c r="G22" s="391"/>
      <c r="H22" s="391"/>
      <c r="I22" s="391"/>
      <c r="J22" s="391"/>
      <c r="K22" s="391"/>
      <c r="L22" s="391"/>
      <c r="M22" s="391"/>
      <c r="N22" s="391"/>
      <c r="O22" s="253"/>
      <c r="P22" s="147" t="s">
        <v>196</v>
      </c>
      <c r="Q22" s="133">
        <f>TRUNC(IF(Q17="","",Q17-Q20),2)</f>
        <v>13062.82</v>
      </c>
      <c r="R22" s="146"/>
    </row>
    <row r="23" spans="1:18" ht="14.25" customHeight="1">
      <c r="A23" s="389" t="s">
        <v>194</v>
      </c>
      <c r="B23" s="251"/>
      <c r="C23" s="390" t="s">
        <v>197</v>
      </c>
      <c r="D23" s="391"/>
      <c r="E23" s="391"/>
      <c r="F23" s="391"/>
      <c r="G23" s="391"/>
      <c r="H23" s="391"/>
      <c r="I23" s="391"/>
      <c r="J23" s="391"/>
      <c r="K23" s="391"/>
      <c r="L23" s="391"/>
      <c r="M23" s="144"/>
      <c r="N23" s="144"/>
      <c r="O23" s="144"/>
      <c r="P23" s="147" t="s">
        <v>198</v>
      </c>
      <c r="Q23" s="133">
        <f>TRUNC(IF(Q21="","",Q21-Q22),2)</f>
        <v>253.98</v>
      </c>
      <c r="R23" s="146"/>
    </row>
    <row r="24" spans="1:18" ht="30" customHeight="1">
      <c r="A24" s="389" t="s">
        <v>196</v>
      </c>
      <c r="B24" s="251"/>
      <c r="C24" s="390" t="s">
        <v>199</v>
      </c>
      <c r="D24" s="391"/>
      <c r="E24" s="391"/>
      <c r="F24" s="391"/>
      <c r="G24" s="391"/>
      <c r="H24" s="391"/>
      <c r="I24" s="391"/>
      <c r="J24" s="391"/>
      <c r="K24" s="391"/>
      <c r="L24" s="391"/>
      <c r="M24" s="144"/>
      <c r="N24" s="144"/>
      <c r="O24" s="144"/>
      <c r="P24" s="147" t="s">
        <v>200</v>
      </c>
      <c r="Q24" s="148">
        <f>IF(Q17="","",(Q23/Q17)*100)</f>
        <v>1.9255773964901695</v>
      </c>
      <c r="R24" s="146"/>
    </row>
    <row r="25" spans="1:18" ht="14.25" customHeight="1">
      <c r="A25" s="389" t="s">
        <v>198</v>
      </c>
      <c r="B25" s="251"/>
      <c r="C25" s="390" t="s">
        <v>201</v>
      </c>
      <c r="D25" s="391"/>
      <c r="E25" s="391"/>
      <c r="F25" s="391"/>
      <c r="G25" s="391"/>
      <c r="H25" s="391"/>
      <c r="I25" s="391"/>
      <c r="J25" s="391"/>
      <c r="K25" s="391"/>
      <c r="L25" s="144"/>
      <c r="M25" s="144"/>
      <c r="N25" s="144"/>
      <c r="O25" s="144"/>
      <c r="P25" s="144"/>
      <c r="Q25" s="144"/>
      <c r="R25" s="146"/>
    </row>
    <row r="26" spans="1:18" ht="15" customHeight="1" thickBot="1">
      <c r="A26" s="392" t="s">
        <v>202</v>
      </c>
      <c r="B26" s="393"/>
      <c r="C26" s="394" t="s">
        <v>203</v>
      </c>
      <c r="D26" s="395"/>
      <c r="E26" s="395"/>
      <c r="F26" s="395"/>
      <c r="G26" s="395"/>
      <c r="H26" s="395"/>
      <c r="I26" s="395"/>
      <c r="J26" s="395"/>
      <c r="K26" s="395"/>
      <c r="L26" s="150"/>
      <c r="M26" s="150"/>
      <c r="N26" s="150"/>
      <c r="O26" s="150"/>
      <c r="P26" s="150"/>
      <c r="Q26" s="150"/>
      <c r="R26" s="151"/>
    </row>
    <row r="28" spans="1:18">
      <c r="Q28" s="209"/>
      <c r="R28" s="210"/>
    </row>
    <row r="29" spans="1:18">
      <c r="P29" s="219">
        <f>Q17*4.84</f>
        <v>63838.680399999997</v>
      </c>
    </row>
  </sheetData>
  <mergeCells count="31">
    <mergeCell ref="A18:B18"/>
    <mergeCell ref="E1:N1"/>
    <mergeCell ref="A20:B20"/>
    <mergeCell ref="C15:K15"/>
    <mergeCell ref="C22:O22"/>
    <mergeCell ref="A19:B19"/>
    <mergeCell ref="C14:K14"/>
    <mergeCell ref="A13:B13"/>
    <mergeCell ref="C20:K20"/>
    <mergeCell ref="C12:K12"/>
    <mergeCell ref="A12:B12"/>
    <mergeCell ref="C16:K16"/>
    <mergeCell ref="C13:K13"/>
    <mergeCell ref="C18:K18"/>
    <mergeCell ref="A14:B14"/>
    <mergeCell ref="A24:B24"/>
    <mergeCell ref="C25:K25"/>
    <mergeCell ref="C23:L23"/>
    <mergeCell ref="A15:B15"/>
    <mergeCell ref="A26:B26"/>
    <mergeCell ref="A21:B21"/>
    <mergeCell ref="C19:K19"/>
    <mergeCell ref="C26:K26"/>
    <mergeCell ref="A25:B25"/>
    <mergeCell ref="C24:L24"/>
    <mergeCell ref="A23:B23"/>
    <mergeCell ref="A17:B17"/>
    <mergeCell ref="A22:B22"/>
    <mergeCell ref="C21:K21"/>
    <mergeCell ref="A16:B16"/>
    <mergeCell ref="C17:K17"/>
  </mergeCells>
  <conditionalFormatting sqref="B4:C10">
    <cfRule type="cellIs" dxfId="8" priority="25" stopIfTrue="1" operator="equal">
      <formula>" "</formula>
    </cfRule>
  </conditionalFormatting>
  <conditionalFormatting sqref="D4:D9">
    <cfRule type="cellIs" dxfId="7" priority="3" stopIfTrue="1" operator="equal">
      <formula>" "</formula>
    </cfRule>
  </conditionalFormatting>
  <conditionalFormatting sqref="E4:E10">
    <cfRule type="cellIs" dxfId="6" priority="15" stopIfTrue="1" operator="equal">
      <formula>" "</formula>
    </cfRule>
  </conditionalFormatting>
  <conditionalFormatting sqref="G4:G10">
    <cfRule type="cellIs" dxfId="5" priority="20" stopIfTrue="1" operator="equal">
      <formula>" "</formula>
    </cfRule>
  </conditionalFormatting>
  <conditionalFormatting sqref="I4:I10">
    <cfRule type="cellIs" dxfId="4" priority="19" stopIfTrue="1" operator="equal">
      <formula>" "</formula>
    </cfRule>
  </conditionalFormatting>
  <conditionalFormatting sqref="K4:K10">
    <cfRule type="cellIs" dxfId="3" priority="18" stopIfTrue="1" operator="equal">
      <formula>" "</formula>
    </cfRule>
  </conditionalFormatting>
  <conditionalFormatting sqref="M4:M10">
    <cfRule type="cellIs" dxfId="2" priority="17" stopIfTrue="1" operator="equal">
      <formula>" "</formula>
    </cfRule>
  </conditionalFormatting>
  <conditionalFormatting sqref="O4:O10">
    <cfRule type="cellIs" dxfId="1" priority="14" stopIfTrue="1" operator="equal">
      <formula>" "</formula>
    </cfRule>
  </conditionalFormatting>
  <pageMargins left="0.511811024" right="0.511811024" top="0.78740157499999996" bottom="0.78740157499999996" header="0.31496062000000002" footer="0.31496062000000002"/>
  <pageSetup paperSize="9" scale="52"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4:L34"/>
  <sheetViews>
    <sheetView topLeftCell="A4" workbookViewId="0">
      <selection activeCell="F34" sqref="F34:H34"/>
    </sheetView>
  </sheetViews>
  <sheetFormatPr defaultRowHeight="12.75"/>
  <cols>
    <col min="10" max="10" width="11" customWidth="1"/>
    <col min="11" max="11" width="11.140625" customWidth="1"/>
  </cols>
  <sheetData>
    <row r="4" spans="3:12">
      <c r="C4" s="415" t="str">
        <f>'AREA UTIL '!C4</f>
        <v>MATRÍCULA 11.173</v>
      </c>
      <c r="D4" s="248"/>
      <c r="E4" s="248"/>
      <c r="F4" s="248"/>
      <c r="G4" s="248"/>
      <c r="H4" s="248"/>
    </row>
    <row r="5" spans="3:12">
      <c r="C5" s="415" t="s">
        <v>204</v>
      </c>
      <c r="D5" s="248"/>
      <c r="E5" s="248"/>
      <c r="F5" s="248"/>
      <c r="G5" s="248"/>
      <c r="H5" s="248"/>
    </row>
    <row r="6" spans="3:12">
      <c r="C6" s="400" t="s">
        <v>190</v>
      </c>
      <c r="D6" s="248"/>
      <c r="E6" s="248"/>
      <c r="F6" s="401">
        <f>'PLANILHA HOMOG'!Q19</f>
        <v>937.24</v>
      </c>
      <c r="G6" s="248"/>
      <c r="H6" s="253"/>
    </row>
    <row r="7" spans="3:12">
      <c r="C7" s="400" t="s">
        <v>205</v>
      </c>
      <c r="D7" s="248"/>
      <c r="E7" s="248"/>
      <c r="F7" s="401">
        <f>'PLANILHA HOMOG'!Q14</f>
        <v>14159.41</v>
      </c>
      <c r="G7" s="248"/>
      <c r="H7" s="253"/>
    </row>
    <row r="8" spans="3:12">
      <c r="C8" s="400" t="s">
        <v>206</v>
      </c>
      <c r="D8" s="248"/>
      <c r="E8" s="248"/>
      <c r="F8" s="401">
        <f>'PLANILHA HOMOG'!Q15</f>
        <v>11248.99</v>
      </c>
      <c r="G8" s="248"/>
      <c r="H8" s="253"/>
    </row>
    <row r="9" spans="3:12">
      <c r="C9" s="400" t="s">
        <v>207</v>
      </c>
      <c r="D9" s="248"/>
      <c r="E9" s="248"/>
      <c r="F9" s="403">
        <v>6</v>
      </c>
      <c r="G9" s="248"/>
      <c r="H9" s="253"/>
      <c r="J9" t="s">
        <v>208</v>
      </c>
    </row>
    <row r="10" spans="3:12">
      <c r="C10" s="400" t="s">
        <v>209</v>
      </c>
      <c r="D10" s="248"/>
      <c r="E10" s="248"/>
      <c r="F10" s="403">
        <v>1</v>
      </c>
      <c r="G10" s="248"/>
      <c r="H10" s="253"/>
      <c r="J10" t="s">
        <v>208</v>
      </c>
    </row>
    <row r="11" spans="3:12">
      <c r="C11" s="400" t="s">
        <v>200</v>
      </c>
      <c r="D11" s="248"/>
      <c r="E11" s="248"/>
      <c r="F11" s="412">
        <f>'PLANILHA HOMOG'!Q24</f>
        <v>1.9255773964901695</v>
      </c>
      <c r="G11" s="248"/>
      <c r="H11" s="253"/>
    </row>
    <row r="12" spans="3:12">
      <c r="C12" s="400" t="s">
        <v>210</v>
      </c>
      <c r="D12" s="248"/>
      <c r="E12" s="248"/>
      <c r="F12" s="403">
        <f>'PLANILHA HOMOG'!N18</f>
        <v>0.27100000000000002</v>
      </c>
      <c r="G12" s="248"/>
      <c r="H12" s="253"/>
    </row>
    <row r="13" spans="3:12">
      <c r="C13" s="400" t="s">
        <v>198</v>
      </c>
      <c r="D13" s="248"/>
      <c r="E13" s="248"/>
      <c r="F13" s="401">
        <f>'PLANILHA HOMOG'!Q23</f>
        <v>253.98</v>
      </c>
      <c r="G13" s="248"/>
      <c r="H13" s="253"/>
    </row>
    <row r="14" spans="3:12" ht="15" customHeight="1">
      <c r="C14" s="410" t="s">
        <v>211</v>
      </c>
      <c r="D14" s="250"/>
      <c r="E14" s="250"/>
      <c r="F14" s="409">
        <f>'PLANILHA HOMOG'!Q17</f>
        <v>13189.81</v>
      </c>
      <c r="G14" s="250"/>
      <c r="H14" s="251"/>
      <c r="J14" s="413">
        <f>F14*4.84</f>
        <v>63838.680399999997</v>
      </c>
      <c r="K14" s="248"/>
      <c r="L14" s="248"/>
    </row>
    <row r="15" spans="3:12">
      <c r="C15" s="417"/>
      <c r="D15" s="248"/>
      <c r="E15" s="248"/>
      <c r="F15" s="248"/>
      <c r="G15" s="248"/>
      <c r="H15" s="248"/>
    </row>
    <row r="16" spans="3:12">
      <c r="C16" s="399" t="s">
        <v>212</v>
      </c>
      <c r="D16" s="248"/>
      <c r="E16" s="248"/>
      <c r="F16" s="248"/>
      <c r="G16" s="248"/>
      <c r="H16" s="248"/>
    </row>
    <row r="17" spans="3:8">
      <c r="C17" s="400" t="s">
        <v>213</v>
      </c>
      <c r="D17" s="248"/>
      <c r="E17" s="248"/>
      <c r="F17" s="403">
        <f>AMOSTRAS!E14</f>
        <v>52.034300000000002</v>
      </c>
      <c r="G17" s="248"/>
      <c r="H17" s="253"/>
    </row>
    <row r="18" spans="3:8">
      <c r="C18" s="400" t="s">
        <v>214</v>
      </c>
      <c r="D18" s="248"/>
      <c r="E18" s="248"/>
      <c r="F18" s="401">
        <f>'PLANILHA HOMOG'!Q17</f>
        <v>13189.81</v>
      </c>
      <c r="G18" s="248"/>
      <c r="H18" s="253"/>
    </row>
    <row r="19" spans="3:8">
      <c r="C19" s="400" t="s">
        <v>215</v>
      </c>
      <c r="D19" s="248"/>
      <c r="E19" s="248"/>
      <c r="F19" s="401">
        <f>F17*F18</f>
        <v>686322.53048299998</v>
      </c>
      <c r="G19" s="248"/>
      <c r="H19" s="253"/>
    </row>
    <row r="20" spans="3:8" ht="15" customHeight="1">
      <c r="C20" s="410" t="s">
        <v>216</v>
      </c>
      <c r="D20" s="250"/>
      <c r="E20" s="250"/>
      <c r="F20" s="409">
        <f>F19</f>
        <v>686322.53048299998</v>
      </c>
      <c r="G20" s="250"/>
      <c r="H20" s="251"/>
    </row>
    <row r="21" spans="3:8">
      <c r="C21" s="404"/>
      <c r="D21" s="248"/>
      <c r="E21" s="248"/>
      <c r="F21" s="407"/>
      <c r="G21" s="248"/>
      <c r="H21" s="248"/>
    </row>
    <row r="22" spans="3:8">
      <c r="C22" s="404"/>
      <c r="D22" s="248"/>
      <c r="E22" s="248"/>
      <c r="F22" s="407"/>
      <c r="G22" s="248"/>
      <c r="H22" s="248"/>
    </row>
    <row r="23" spans="3:8">
      <c r="C23" s="404"/>
      <c r="D23" s="248"/>
      <c r="E23" s="248"/>
      <c r="F23" s="416"/>
      <c r="G23" s="248"/>
      <c r="H23" s="248"/>
    </row>
    <row r="24" spans="3:8">
      <c r="C24" s="414" t="s">
        <v>217</v>
      </c>
      <c r="D24" s="248"/>
      <c r="E24" s="248"/>
      <c r="F24" s="248"/>
      <c r="G24" s="248"/>
      <c r="H24" s="248"/>
    </row>
    <row r="25" spans="3:8">
      <c r="C25" s="405" t="s">
        <v>218</v>
      </c>
      <c r="D25" s="248"/>
      <c r="E25" s="248"/>
      <c r="F25" s="408">
        <v>2000000</v>
      </c>
      <c r="G25" s="248"/>
      <c r="H25" s="253"/>
    </row>
    <row r="26" spans="3:8">
      <c r="C26" s="405" t="s">
        <v>219</v>
      </c>
      <c r="D26" s="248"/>
      <c r="E26" s="248"/>
      <c r="F26" s="402">
        <v>0.8</v>
      </c>
      <c r="G26" s="248"/>
      <c r="H26" s="253"/>
    </row>
    <row r="27" spans="3:8">
      <c r="C27" s="405" t="s">
        <v>220</v>
      </c>
      <c r="D27" s="248"/>
      <c r="E27" s="248"/>
      <c r="F27" s="408">
        <f>F25*F26</f>
        <v>1600000</v>
      </c>
      <c r="G27" s="248"/>
      <c r="H27" s="253"/>
    </row>
    <row r="28" spans="3:8" ht="15" customHeight="1">
      <c r="C28" s="411" t="s">
        <v>216</v>
      </c>
      <c r="D28" s="250"/>
      <c r="E28" s="250"/>
      <c r="F28" s="406">
        <f>F27</f>
        <v>1600000</v>
      </c>
      <c r="G28" s="250"/>
      <c r="H28" s="251"/>
    </row>
    <row r="31" spans="3:8">
      <c r="C31" s="399" t="s">
        <v>221</v>
      </c>
      <c r="D31" s="248"/>
      <c r="E31" s="248"/>
      <c r="F31" s="248"/>
      <c r="G31" s="248"/>
      <c r="H31" s="248"/>
    </row>
    <row r="32" spans="3:8">
      <c r="C32" s="400" t="s">
        <v>222</v>
      </c>
      <c r="D32" s="248"/>
      <c r="E32" s="248"/>
      <c r="F32" s="401">
        <f>F20</f>
        <v>686322.53048299998</v>
      </c>
      <c r="G32" s="248"/>
      <c r="H32" s="253"/>
    </row>
    <row r="33" spans="3:8">
      <c r="C33" s="400" t="s">
        <v>223</v>
      </c>
      <c r="D33" s="248"/>
      <c r="E33" s="248"/>
      <c r="F33" s="401">
        <f>F28</f>
        <v>1600000</v>
      </c>
      <c r="G33" s="248"/>
      <c r="H33" s="253"/>
    </row>
    <row r="34" spans="3:8" ht="15" customHeight="1">
      <c r="C34" s="410" t="s">
        <v>224</v>
      </c>
      <c r="D34" s="250"/>
      <c r="E34" s="250"/>
      <c r="F34" s="409">
        <f>F32+F33</f>
        <v>2286322.530483</v>
      </c>
      <c r="G34" s="250"/>
      <c r="H34" s="251"/>
    </row>
  </sheetData>
  <mergeCells count="53">
    <mergeCell ref="C4:H4"/>
    <mergeCell ref="F12:H12"/>
    <mergeCell ref="F7:H7"/>
    <mergeCell ref="F21:H21"/>
    <mergeCell ref="C25:E25"/>
    <mergeCell ref="C10:E10"/>
    <mergeCell ref="F9:H9"/>
    <mergeCell ref="C7:E7"/>
    <mergeCell ref="C22:E22"/>
    <mergeCell ref="J14:L14"/>
    <mergeCell ref="F6:H6"/>
    <mergeCell ref="F19:H19"/>
    <mergeCell ref="C24:H24"/>
    <mergeCell ref="C5:H5"/>
    <mergeCell ref="F14:H14"/>
    <mergeCell ref="C18:E18"/>
    <mergeCell ref="C9:E9"/>
    <mergeCell ref="F8:H8"/>
    <mergeCell ref="C11:E11"/>
    <mergeCell ref="C8:E8"/>
    <mergeCell ref="C12:E12"/>
    <mergeCell ref="F23:H23"/>
    <mergeCell ref="F13:H13"/>
    <mergeCell ref="C6:E6"/>
    <mergeCell ref="C15:H15"/>
    <mergeCell ref="F34:H34"/>
    <mergeCell ref="F25:H25"/>
    <mergeCell ref="F10:H10"/>
    <mergeCell ref="C33:E33"/>
    <mergeCell ref="C14:E14"/>
    <mergeCell ref="C26:E26"/>
    <mergeCell ref="C32:E32"/>
    <mergeCell ref="C28:E28"/>
    <mergeCell ref="C19:E19"/>
    <mergeCell ref="C13:E13"/>
    <mergeCell ref="C16:H16"/>
    <mergeCell ref="C20:E20"/>
    <mergeCell ref="F18:H18"/>
    <mergeCell ref="C34:E34"/>
    <mergeCell ref="F11:H11"/>
    <mergeCell ref="F33:H33"/>
    <mergeCell ref="C31:H31"/>
    <mergeCell ref="C17:E17"/>
    <mergeCell ref="F32:H32"/>
    <mergeCell ref="F26:H26"/>
    <mergeCell ref="F17:H17"/>
    <mergeCell ref="C21:E21"/>
    <mergeCell ref="C27:E27"/>
    <mergeCell ref="F28:H28"/>
    <mergeCell ref="F22:H22"/>
    <mergeCell ref="F27:H27"/>
    <mergeCell ref="C23:E23"/>
    <mergeCell ref="F20:H20"/>
  </mergeCells>
  <pageMargins left="0.511811024" right="0.511811024" top="0.78740157499999996" bottom="0.78740157499999996" header="0.31496062000000002" footer="0.31496062000000002"/>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5:K18"/>
  <sheetViews>
    <sheetView tabSelected="1" workbookViewId="0">
      <selection activeCell="M9" sqref="M9"/>
    </sheetView>
  </sheetViews>
  <sheetFormatPr defaultRowHeight="12.75"/>
  <cols>
    <col min="3" max="3" width="15.42578125" bestFit="1" customWidth="1"/>
    <col min="11" max="11" width="19.28515625" customWidth="1"/>
    <col min="13" max="13" width="18.85546875" customWidth="1"/>
  </cols>
  <sheetData>
    <row r="5" spans="3:11">
      <c r="C5" s="415" t="str">
        <f>SANEAMENTO!C4</f>
        <v>MATRÍCULA 11.173</v>
      </c>
      <c r="D5" s="248"/>
      <c r="E5" s="248"/>
      <c r="F5" s="248"/>
      <c r="G5" s="248"/>
      <c r="H5" s="248"/>
    </row>
    <row r="6" spans="3:11">
      <c r="C6" s="415" t="s">
        <v>225</v>
      </c>
      <c r="D6" s="248"/>
      <c r="E6" s="248"/>
      <c r="F6" s="248"/>
      <c r="G6" s="248"/>
      <c r="H6" s="248"/>
    </row>
    <row r="7" spans="3:11">
      <c r="C7" s="400" t="s">
        <v>226</v>
      </c>
      <c r="D7" s="248"/>
      <c r="E7" s="248"/>
      <c r="F7" s="419">
        <v>0.13250000000000001</v>
      </c>
      <c r="G7" s="248"/>
      <c r="H7" s="253"/>
    </row>
    <row r="8" spans="3:11">
      <c r="C8" s="400" t="s">
        <v>227</v>
      </c>
      <c r="D8" s="248"/>
      <c r="E8" s="248"/>
      <c r="F8" s="403">
        <v>36</v>
      </c>
      <c r="G8" s="248"/>
      <c r="H8" s="253"/>
    </row>
    <row r="9" spans="3:11">
      <c r="C9" s="400" t="s">
        <v>228</v>
      </c>
      <c r="D9" s="248"/>
      <c r="E9" s="248"/>
      <c r="F9" s="418">
        <f>1/((1+F7)^(F8/12))</f>
        <v>0.68847055051621997</v>
      </c>
      <c r="G9" s="248"/>
      <c r="H9" s="253"/>
    </row>
    <row r="10" spans="3:11">
      <c r="C10" s="400" t="s">
        <v>229</v>
      </c>
      <c r="D10" s="248"/>
      <c r="E10" s="248"/>
      <c r="F10" s="401">
        <f>SANEAMENTO!F20</f>
        <v>686322.53048299998</v>
      </c>
      <c r="G10" s="248"/>
      <c r="H10" s="253"/>
    </row>
    <row r="11" spans="3:11" ht="15" customHeight="1">
      <c r="C11" s="410" t="s">
        <v>230</v>
      </c>
      <c r="D11" s="250"/>
      <c r="E11" s="250"/>
      <c r="F11" s="409">
        <f>F10/((1+F7)^(F8/12))</f>
        <v>472512.85039331613</v>
      </c>
      <c r="G11" s="250"/>
      <c r="H11" s="251"/>
      <c r="K11" s="188"/>
    </row>
    <row r="12" spans="3:11" ht="15" customHeight="1">
      <c r="K12" s="188"/>
    </row>
    <row r="13" spans="3:11">
      <c r="C13" s="399" t="s">
        <v>225</v>
      </c>
      <c r="D13" s="248"/>
      <c r="E13" s="248"/>
      <c r="F13" s="248"/>
      <c r="G13" s="248"/>
      <c r="H13" s="248"/>
      <c r="K13" s="187"/>
    </row>
    <row r="14" spans="3:11">
      <c r="C14" s="400" t="s">
        <v>226</v>
      </c>
      <c r="D14" s="248"/>
      <c r="E14" s="248"/>
      <c r="F14" s="419">
        <v>0.12767999999999999</v>
      </c>
      <c r="G14" s="248"/>
      <c r="H14" s="253"/>
    </row>
    <row r="15" spans="3:11">
      <c r="C15" s="400" t="s">
        <v>227</v>
      </c>
      <c r="D15" s="248"/>
      <c r="E15" s="248"/>
      <c r="F15" s="403">
        <v>36</v>
      </c>
      <c r="G15" s="248"/>
      <c r="H15" s="253"/>
    </row>
    <row r="16" spans="3:11">
      <c r="C16" s="400" t="s">
        <v>228</v>
      </c>
      <c r="D16" s="248"/>
      <c r="E16" s="248"/>
      <c r="F16" s="418">
        <f>1/((1+F14)^(F15/12))</f>
        <v>0.69733644889224644</v>
      </c>
      <c r="G16" s="248"/>
      <c r="H16" s="253"/>
    </row>
    <row r="17" spans="3:8">
      <c r="C17" s="400" t="s">
        <v>229</v>
      </c>
      <c r="D17" s="248"/>
      <c r="E17" s="248"/>
      <c r="F17" s="401">
        <f>SANEAMENTO!F28</f>
        <v>1600000</v>
      </c>
      <c r="G17" s="248"/>
      <c r="H17" s="253"/>
    </row>
    <row r="18" spans="3:8" ht="15" customHeight="1">
      <c r="C18" s="410" t="s">
        <v>230</v>
      </c>
      <c r="D18" s="250"/>
      <c r="E18" s="250"/>
      <c r="F18" s="409">
        <f>F17/((1+F14)^(F15/12))</f>
        <v>1115738.3182275943</v>
      </c>
      <c r="G18" s="250"/>
      <c r="H18" s="251"/>
    </row>
  </sheetData>
  <mergeCells count="23">
    <mergeCell ref="C6:H6"/>
    <mergeCell ref="F16:H16"/>
    <mergeCell ref="C14:E14"/>
    <mergeCell ref="C5:H5"/>
    <mergeCell ref="F7:H7"/>
    <mergeCell ref="F15:H15"/>
    <mergeCell ref="C10:E10"/>
    <mergeCell ref="C7:E7"/>
    <mergeCell ref="F14:H14"/>
    <mergeCell ref="C13:H13"/>
    <mergeCell ref="C9:E9"/>
    <mergeCell ref="F8:H8"/>
    <mergeCell ref="C8:E8"/>
    <mergeCell ref="F9:H9"/>
    <mergeCell ref="C18:E18"/>
    <mergeCell ref="C15:E15"/>
    <mergeCell ref="F11:H11"/>
    <mergeCell ref="F10:H10"/>
    <mergeCell ref="C16:E16"/>
    <mergeCell ref="F18:H18"/>
    <mergeCell ref="F17:H17"/>
    <mergeCell ref="C11:E11"/>
    <mergeCell ref="C17:E17"/>
  </mergeCells>
  <pageMargins left="0.511811024" right="0.511811024" top="0.78740157499999996" bottom="0.78740157499999996" header="0.31496062000000002" footer="0.3149606200000000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2:AK58"/>
  <sheetViews>
    <sheetView view="pageBreakPreview" zoomScaleNormal="100" zoomScaleSheetLayoutView="100" workbookViewId="0">
      <selection activeCell="R12" sqref="R12:U12"/>
    </sheetView>
  </sheetViews>
  <sheetFormatPr defaultColWidth="9.140625" defaultRowHeight="12.75"/>
  <cols>
    <col min="1" max="1" width="9.140625" style="67" customWidth="1"/>
    <col min="2" max="2" width="2.7109375" style="67" customWidth="1"/>
    <col min="3" max="3" width="2.28515625" style="67" customWidth="1"/>
    <col min="4" max="4" width="5.42578125" style="67" customWidth="1"/>
    <col min="5" max="7" width="1.85546875" style="67" customWidth="1"/>
    <col min="8" max="11" width="2.42578125" style="67" customWidth="1"/>
    <col min="12" max="12" width="2" style="67" customWidth="1"/>
    <col min="13" max="13" width="2.85546875" style="67" customWidth="1"/>
    <col min="14" max="14" width="2.5703125" style="67" customWidth="1"/>
    <col min="15" max="15" width="6.140625" style="67" customWidth="1"/>
    <col min="16" max="16" width="2.85546875" style="67" customWidth="1"/>
    <col min="17" max="17" width="2.140625" style="67" bestFit="1" customWidth="1"/>
    <col min="18" max="18" width="2.85546875" style="67" customWidth="1"/>
    <col min="19" max="19" width="3" style="67" customWidth="1"/>
    <col min="20" max="20" width="9.85546875" style="67" customWidth="1"/>
    <col min="21" max="21" width="11.7109375" style="67" customWidth="1"/>
    <col min="22" max="25" width="3.85546875" style="67" customWidth="1"/>
    <col min="26" max="26" width="6.28515625" style="67" customWidth="1"/>
    <col min="27" max="29" width="3.85546875" style="67" customWidth="1"/>
    <col min="30" max="30" width="7.85546875" style="67" customWidth="1"/>
    <col min="31" max="31" width="3.85546875" style="67" hidden="1" customWidth="1"/>
    <col min="32" max="32" width="2.42578125" style="67" customWidth="1"/>
    <col min="33" max="33" width="12.85546875" style="67" customWidth="1"/>
    <col min="34" max="34" width="3.7109375" style="67" customWidth="1"/>
    <col min="35" max="36" width="3" style="67" customWidth="1"/>
    <col min="37" max="37" width="9.140625" style="67" customWidth="1"/>
    <col min="38" max="16384" width="9.140625" style="67"/>
  </cols>
  <sheetData>
    <row r="2" spans="2:31" s="68" customFormat="1" ht="17.100000000000001" customHeight="1">
      <c r="B2" s="436" t="s">
        <v>231</v>
      </c>
      <c r="C2" s="437"/>
      <c r="D2" s="437"/>
      <c r="E2" s="437"/>
      <c r="F2" s="437"/>
      <c r="G2" s="437"/>
      <c r="H2" s="437"/>
      <c r="I2" s="437"/>
      <c r="J2" s="437"/>
      <c r="K2" s="437"/>
      <c r="L2" s="437"/>
      <c r="M2" s="437"/>
      <c r="N2" s="437"/>
      <c r="O2" s="437"/>
      <c r="P2" s="437"/>
      <c r="Q2" s="437"/>
      <c r="R2" s="437"/>
      <c r="S2" s="437"/>
      <c r="T2" s="437"/>
      <c r="U2" s="437"/>
      <c r="V2" s="437"/>
      <c r="W2" s="437"/>
      <c r="X2" s="437"/>
      <c r="Y2" s="437"/>
      <c r="Z2" s="437"/>
      <c r="AA2" s="437"/>
      <c r="AB2" s="437"/>
      <c r="AC2" s="437"/>
      <c r="AD2" s="437"/>
    </row>
    <row r="3" spans="2:31" s="68" customFormat="1" ht="17.100000000000001" customHeight="1">
      <c r="B3" s="69"/>
      <c r="C3" s="69"/>
      <c r="D3" s="69"/>
      <c r="E3" s="69"/>
      <c r="F3" s="69"/>
      <c r="G3" s="70"/>
      <c r="I3" s="71"/>
      <c r="J3" s="72"/>
    </row>
    <row r="4" spans="2:31" s="68" customFormat="1" ht="17.100000000000001" customHeight="1">
      <c r="B4" s="67"/>
      <c r="C4" s="67"/>
    </row>
    <row r="5" spans="2:31" ht="15" customHeight="1">
      <c r="P5"/>
    </row>
    <row r="6" spans="2:31" ht="15.75" customHeight="1">
      <c r="B6" s="93" t="s">
        <v>232</v>
      </c>
      <c r="C6" s="90"/>
      <c r="D6" s="90"/>
      <c r="E6" s="90"/>
      <c r="F6" s="90"/>
      <c r="G6" s="90"/>
      <c r="H6" s="90"/>
      <c r="I6" s="90"/>
      <c r="J6" s="90"/>
      <c r="K6" s="90"/>
      <c r="L6" s="90"/>
      <c r="M6" s="90"/>
      <c r="N6" s="90"/>
      <c r="O6" s="90"/>
      <c r="P6" s="90"/>
      <c r="Q6" s="90"/>
      <c r="R6" s="90"/>
      <c r="S6" s="90"/>
      <c r="T6" s="90"/>
      <c r="U6" s="90"/>
      <c r="V6" s="90"/>
      <c r="W6" s="90"/>
      <c r="X6" s="90"/>
      <c r="Y6" s="90"/>
      <c r="Z6" s="90"/>
      <c r="AA6" s="90"/>
      <c r="AB6" s="90"/>
      <c r="AC6" s="90"/>
      <c r="AD6" s="90"/>
      <c r="AE6" s="73"/>
    </row>
    <row r="7" spans="2:31" ht="12.75" customHeight="1"/>
    <row r="8" spans="2:31" ht="15.75" customHeight="1">
      <c r="B8" s="97"/>
      <c r="C8" s="48"/>
      <c r="D8" s="48"/>
      <c r="E8" s="48"/>
      <c r="F8" s="48"/>
      <c r="G8" s="48"/>
      <c r="H8" s="48"/>
      <c r="I8" s="48"/>
      <c r="J8" s="48"/>
      <c r="K8" s="48"/>
      <c r="L8" s="48"/>
      <c r="M8" s="48"/>
      <c r="N8" s="48"/>
      <c r="O8" s="48"/>
      <c r="P8" s="48"/>
      <c r="Q8" s="48"/>
      <c r="R8" s="48"/>
      <c r="S8" s="48"/>
      <c r="T8" s="48"/>
      <c r="U8" s="48"/>
      <c r="V8" s="48"/>
      <c r="W8" s="97" t="s">
        <v>233</v>
      </c>
      <c r="X8" s="48"/>
      <c r="Y8" s="48"/>
      <c r="Z8" s="48"/>
      <c r="AA8" s="48"/>
      <c r="AB8" s="48"/>
      <c r="AC8" s="48"/>
      <c r="AD8" s="48"/>
    </row>
    <row r="9" spans="2:31" ht="15" customHeight="1">
      <c r="B9" s="48" t="s">
        <v>234</v>
      </c>
      <c r="C9" s="48"/>
      <c r="D9" s="48"/>
      <c r="E9" s="48"/>
      <c r="F9" s="48"/>
      <c r="G9" s="48"/>
      <c r="H9" s="48" t="s">
        <v>235</v>
      </c>
      <c r="I9" s="48" t="s">
        <v>236</v>
      </c>
      <c r="J9" s="48"/>
      <c r="K9" s="48"/>
      <c r="L9" s="48"/>
      <c r="M9" s="48"/>
      <c r="N9" s="48"/>
      <c r="O9" s="48"/>
      <c r="P9" s="48"/>
      <c r="Q9" s="48"/>
      <c r="R9" s="48"/>
      <c r="S9" s="48"/>
      <c r="T9" s="48"/>
      <c r="U9" s="48"/>
      <c r="V9" s="48"/>
      <c r="W9" s="48" t="s">
        <v>237</v>
      </c>
      <c r="X9" s="48"/>
      <c r="Y9" s="48"/>
      <c r="Z9" s="48"/>
      <c r="AA9" s="48"/>
      <c r="AB9" s="48"/>
      <c r="AC9" s="98"/>
      <c r="AD9" s="98"/>
    </row>
    <row r="10" spans="2:31" ht="15" customHeight="1">
      <c r="B10" s="428">
        <f>AMOSTRAS!E14</f>
        <v>52.034300000000002</v>
      </c>
      <c r="C10" s="424"/>
      <c r="D10" s="424"/>
      <c r="E10" s="424"/>
      <c r="F10" s="424"/>
      <c r="G10" s="424"/>
      <c r="H10" s="48" t="s">
        <v>235</v>
      </c>
      <c r="I10" s="445">
        <f>IF(B10=" ","",W11)</f>
        <v>13189.81</v>
      </c>
      <c r="J10" s="424"/>
      <c r="K10" s="424"/>
      <c r="L10" s="424"/>
      <c r="M10" s="424"/>
      <c r="N10" s="424"/>
      <c r="O10" s="424"/>
      <c r="P10" s="424"/>
      <c r="Q10" s="48" t="s">
        <v>238</v>
      </c>
      <c r="R10" s="423">
        <f>IF(B10=" ","",I10*B10)</f>
        <v>686322.53048299998</v>
      </c>
      <c r="S10" s="424"/>
      <c r="T10" s="424"/>
      <c r="U10" s="424"/>
      <c r="V10" s="48"/>
      <c r="W10" s="48" t="s">
        <v>239</v>
      </c>
      <c r="X10" s="48"/>
      <c r="Y10" s="48"/>
      <c r="Z10" s="48"/>
      <c r="AA10" s="48"/>
      <c r="AB10" s="48"/>
      <c r="AC10" s="98"/>
      <c r="AD10" s="98"/>
    </row>
    <row r="11" spans="2:31" ht="15" customHeight="1">
      <c r="B11" s="48"/>
      <c r="C11" s="48"/>
      <c r="D11" s="48"/>
      <c r="E11" s="48"/>
      <c r="F11" s="48"/>
      <c r="G11" s="48"/>
      <c r="H11" s="48"/>
      <c r="I11" s="48"/>
      <c r="J11" s="48"/>
      <c r="K11" s="48"/>
      <c r="L11" s="48"/>
      <c r="M11" s="48"/>
      <c r="N11" s="48"/>
      <c r="O11" s="48"/>
      <c r="P11" s="48"/>
      <c r="Q11" s="48"/>
      <c r="R11" s="99"/>
      <c r="S11" s="99"/>
      <c r="T11" s="48"/>
      <c r="U11" s="99"/>
      <c r="V11" s="48"/>
      <c r="W11" s="423">
        <f>'PLANILHA HOMOG'!Q17</f>
        <v>13189.81</v>
      </c>
      <c r="X11" s="424"/>
      <c r="Y11" s="424"/>
      <c r="Z11" s="424"/>
      <c r="AA11" s="48"/>
      <c r="AB11" s="48"/>
      <c r="AC11" s="98"/>
      <c r="AD11" s="98"/>
    </row>
    <row r="12" spans="2:31" ht="18" customHeight="1">
      <c r="B12" s="49"/>
      <c r="C12" s="49"/>
      <c r="D12" s="49"/>
      <c r="E12" s="99"/>
      <c r="F12" s="100"/>
      <c r="G12" s="100"/>
      <c r="H12" s="101"/>
      <c r="I12" s="101"/>
      <c r="J12" s="101"/>
      <c r="K12" s="101"/>
      <c r="L12" s="102"/>
      <c r="M12" s="48"/>
      <c r="N12" s="48"/>
      <c r="O12" s="48" t="s">
        <v>20</v>
      </c>
      <c r="P12" s="48"/>
      <c r="Q12" s="48" t="s">
        <v>238</v>
      </c>
      <c r="R12" s="443">
        <f>R10</f>
        <v>686322.53048299998</v>
      </c>
      <c r="S12" s="424"/>
      <c r="T12" s="424"/>
      <c r="U12" s="424"/>
      <c r="V12" s="48"/>
      <c r="W12" s="48"/>
      <c r="X12" s="48"/>
      <c r="Y12" s="48"/>
      <c r="Z12" s="48"/>
      <c r="AA12" s="48"/>
      <c r="AB12" s="48"/>
      <c r="AC12" s="98"/>
      <c r="AD12" s="98"/>
    </row>
    <row r="13" spans="2:31">
      <c r="AC13" s="74"/>
      <c r="AD13" s="74"/>
    </row>
    <row r="14" spans="2:31">
      <c r="B14" s="70" t="s">
        <v>240</v>
      </c>
      <c r="V14" s="80"/>
      <c r="W14" s="435"/>
      <c r="X14" s="424"/>
      <c r="Y14" s="424"/>
      <c r="Z14" s="424"/>
      <c r="AA14" s="70"/>
      <c r="AB14" s="70"/>
      <c r="AC14" s="81"/>
      <c r="AD14" s="81"/>
    </row>
    <row r="15" spans="2:31">
      <c r="B15" s="67" t="s">
        <v>241</v>
      </c>
      <c r="H15" s="67" t="s">
        <v>235</v>
      </c>
      <c r="I15" s="67" t="s">
        <v>236</v>
      </c>
      <c r="V15" s="80"/>
      <c r="W15" s="80"/>
      <c r="X15" s="80"/>
      <c r="Y15" s="80"/>
      <c r="AA15" s="82"/>
      <c r="AB15" s="82"/>
      <c r="AC15" s="83"/>
      <c r="AD15" s="83"/>
    </row>
    <row r="16" spans="2:31">
      <c r="B16" s="440" t="s">
        <v>23</v>
      </c>
      <c r="C16" s="424"/>
      <c r="D16" s="424"/>
      <c r="E16" s="424"/>
      <c r="F16" s="424"/>
      <c r="G16" s="424"/>
      <c r="H16" s="67" t="s">
        <v>235</v>
      </c>
      <c r="I16" s="430" t="str">
        <f>IF(B16=" ","",W11)</f>
        <v/>
      </c>
      <c r="J16" s="424"/>
      <c r="K16" s="424"/>
      <c r="L16" s="424"/>
      <c r="M16" s="424"/>
      <c r="N16" s="424"/>
      <c r="O16" s="424"/>
      <c r="P16" s="424"/>
      <c r="Q16" s="67" t="s">
        <v>238</v>
      </c>
      <c r="R16" s="435" t="str">
        <f>IF(B16=" ","",I16*B16)</f>
        <v/>
      </c>
      <c r="S16" s="424"/>
      <c r="T16" s="424"/>
      <c r="U16" s="424"/>
      <c r="V16" s="80"/>
      <c r="AA16" s="82"/>
      <c r="AB16" s="82"/>
      <c r="AC16" s="83"/>
      <c r="AD16" s="83"/>
    </row>
    <row r="17" spans="2:37">
      <c r="R17" s="75"/>
      <c r="S17" s="75"/>
      <c r="U17" s="75"/>
      <c r="V17" s="80"/>
      <c r="W17" s="435"/>
      <c r="X17" s="424"/>
      <c r="Y17" s="424"/>
      <c r="Z17" s="424"/>
      <c r="AA17" s="82"/>
      <c r="AB17" s="82"/>
      <c r="AC17" s="83"/>
      <c r="AD17" s="83"/>
    </row>
    <row r="18" spans="2:37">
      <c r="B18" s="76"/>
      <c r="C18" s="76"/>
      <c r="D18" s="76"/>
      <c r="E18" s="75"/>
      <c r="F18" s="77"/>
      <c r="G18" s="77"/>
      <c r="H18" s="78"/>
      <c r="I18" s="78"/>
      <c r="J18" s="78"/>
      <c r="K18" s="78"/>
      <c r="L18" s="79"/>
      <c r="O18" s="67" t="s">
        <v>20</v>
      </c>
      <c r="Q18" s="67" t="s">
        <v>238</v>
      </c>
      <c r="R18" s="434" t="str">
        <f>R16</f>
        <v/>
      </c>
      <c r="S18" s="424"/>
      <c r="T18" s="424"/>
      <c r="U18" s="424"/>
      <c r="V18" s="80"/>
      <c r="W18" s="80"/>
      <c r="X18" s="80"/>
      <c r="Y18" s="80"/>
      <c r="AA18" s="82"/>
      <c r="AB18" s="82"/>
      <c r="AC18" s="83"/>
      <c r="AD18" s="83"/>
    </row>
    <row r="19" spans="2:37">
      <c r="B19" s="84"/>
      <c r="C19" s="84"/>
      <c r="D19" s="84"/>
      <c r="E19" s="84"/>
      <c r="F19" s="84"/>
      <c r="G19" s="84"/>
      <c r="H19" s="84"/>
      <c r="I19" s="84"/>
      <c r="J19" s="84"/>
      <c r="K19" s="84"/>
      <c r="L19" s="84"/>
      <c r="M19" s="84"/>
      <c r="N19" s="84"/>
      <c r="O19" s="84"/>
      <c r="P19" s="84"/>
      <c r="Q19" s="84"/>
      <c r="R19" s="84"/>
      <c r="S19" s="84"/>
      <c r="U19" s="80"/>
      <c r="V19" s="80"/>
      <c r="W19" s="80"/>
      <c r="X19" s="80"/>
      <c r="Y19" s="80"/>
      <c r="AA19" s="82"/>
      <c r="AB19" s="82"/>
      <c r="AC19" s="83"/>
      <c r="AD19" s="83"/>
    </row>
    <row r="20" spans="2:37" ht="15.75" customHeight="1">
      <c r="B20" s="93" t="s">
        <v>242</v>
      </c>
      <c r="C20" s="90"/>
      <c r="D20" s="90"/>
      <c r="E20" s="90"/>
      <c r="F20" s="90"/>
      <c r="G20" s="90"/>
      <c r="H20" s="90"/>
      <c r="I20" s="90"/>
      <c r="J20" s="90"/>
      <c r="K20" s="90"/>
      <c r="L20" s="90"/>
      <c r="M20" s="90"/>
      <c r="N20" s="90"/>
      <c r="O20" s="90"/>
      <c r="P20" s="90"/>
      <c r="Q20" s="90"/>
      <c r="R20" s="90"/>
      <c r="S20" s="90"/>
      <c r="T20" s="90"/>
      <c r="U20" s="90"/>
      <c r="V20" s="90"/>
      <c r="W20" s="90"/>
      <c r="X20" s="90"/>
      <c r="Y20" s="90"/>
      <c r="Z20" s="90"/>
      <c r="AA20" s="90"/>
      <c r="AB20" s="90"/>
      <c r="AC20" s="90"/>
      <c r="AD20" s="90"/>
      <c r="AE20" s="73"/>
      <c r="AK20" s="76"/>
    </row>
    <row r="21" spans="2:37" ht="16.5" customHeight="1"/>
    <row r="22" spans="2:37" s="85" customFormat="1" ht="13.5" customHeight="1">
      <c r="B22" s="85" t="s">
        <v>243</v>
      </c>
      <c r="V22" s="85" t="s">
        <v>244</v>
      </c>
      <c r="W22" s="444">
        <f>R12</f>
        <v>686322.53048299998</v>
      </c>
      <c r="X22" s="427"/>
      <c r="Y22" s="427"/>
      <c r="Z22" s="427"/>
    </row>
    <row r="23" spans="2:37" s="85" customFormat="1" ht="13.5" customHeight="1">
      <c r="B23" s="85" t="s">
        <v>245</v>
      </c>
      <c r="V23" s="85" t="s">
        <v>244</v>
      </c>
      <c r="W23" s="426" t="str">
        <f>R16</f>
        <v/>
      </c>
      <c r="X23" s="427"/>
      <c r="Y23" s="427"/>
      <c r="Z23" s="427"/>
    </row>
    <row r="24" spans="2:37" s="86" customFormat="1" ht="13.5" customHeight="1">
      <c r="B24" s="86" t="s">
        <v>246</v>
      </c>
      <c r="V24" s="86" t="s">
        <v>244</v>
      </c>
      <c r="W24" s="438">
        <f>SUM(W22:W23)</f>
        <v>686322.53048299998</v>
      </c>
      <c r="X24" s="421"/>
      <c r="Y24" s="421"/>
      <c r="Z24" s="421"/>
    </row>
    <row r="25" spans="2:37" s="85" customFormat="1" ht="13.5" customHeight="1">
      <c r="B25" s="85" t="s">
        <v>247</v>
      </c>
      <c r="V25" s="85" t="s">
        <v>244</v>
      </c>
      <c r="W25" s="426">
        <f>'LAUDO DE AVALIAÇÃO 12-12.4'!H9</f>
        <v>0</v>
      </c>
      <c r="X25" s="427"/>
      <c r="Y25" s="427"/>
      <c r="Z25" s="427"/>
    </row>
    <row r="26" spans="2:37" s="85" customFormat="1" ht="13.5" customHeight="1">
      <c r="B26" s="85" t="s">
        <v>248</v>
      </c>
      <c r="V26" s="85" t="s">
        <v>244</v>
      </c>
      <c r="W26" s="426">
        <f>'LAUDO DE AVALIAÇÃO 12-12.4'!H14</f>
        <v>0</v>
      </c>
      <c r="X26" s="427"/>
      <c r="Y26" s="427"/>
      <c r="Z26" s="427"/>
    </row>
    <row r="27" spans="2:37" s="85" customFormat="1" ht="13.5" customHeight="1">
      <c r="B27" s="85" t="s">
        <v>249</v>
      </c>
      <c r="V27" s="85" t="s">
        <v>244</v>
      </c>
      <c r="W27" s="426">
        <f>'LAUDO DE AVALIAÇÃO 12-12.4'!H19</f>
        <v>0</v>
      </c>
      <c r="X27" s="427"/>
      <c r="Y27" s="427"/>
      <c r="Z27" s="427"/>
    </row>
    <row r="28" spans="2:37" s="85" customFormat="1" ht="13.5" customHeight="1">
      <c r="B28" s="85" t="s">
        <v>250</v>
      </c>
      <c r="V28" s="85" t="s">
        <v>244</v>
      </c>
      <c r="W28" s="426">
        <f>'LAUDO DE AVALIAÇÃO 12-12.4'!H24</f>
        <v>0</v>
      </c>
      <c r="X28" s="427"/>
      <c r="Y28" s="427"/>
      <c r="Z28" s="427"/>
    </row>
    <row r="29" spans="2:37" s="85" customFormat="1" ht="13.5" customHeight="1">
      <c r="B29" s="85" t="s">
        <v>251</v>
      </c>
      <c r="V29" s="85" t="s">
        <v>244</v>
      </c>
      <c r="W29" s="426">
        <f>'LAUDO DE AVALIAÇÃO 13'!G8</f>
        <v>0</v>
      </c>
      <c r="X29" s="427"/>
      <c r="Y29" s="427"/>
      <c r="Z29" s="427"/>
    </row>
    <row r="30" spans="2:37" s="86" customFormat="1" ht="13.5" customHeight="1">
      <c r="B30" s="86" t="s">
        <v>252</v>
      </c>
      <c r="V30" s="86" t="s">
        <v>244</v>
      </c>
      <c r="W30" s="439">
        <f>SUM(W25:Z29)</f>
        <v>0</v>
      </c>
      <c r="X30" s="421"/>
      <c r="Y30" s="421"/>
      <c r="Z30" s="421"/>
      <c r="AG30" s="85"/>
    </row>
    <row r="31" spans="2:37" s="86" customFormat="1" ht="13.5" customHeight="1">
      <c r="B31" s="86" t="s">
        <v>253</v>
      </c>
      <c r="V31" s="87" t="s">
        <v>244</v>
      </c>
      <c r="W31" s="442">
        <f>W30+W24</f>
        <v>686322.53048299998</v>
      </c>
      <c r="X31" s="421"/>
      <c r="Y31" s="421"/>
      <c r="Z31" s="421"/>
      <c r="AG31" s="88"/>
    </row>
    <row r="32" spans="2:37" s="85" customFormat="1" ht="11.25" customHeight="1">
      <c r="B32" s="85" t="s">
        <v>254</v>
      </c>
      <c r="K32" s="441">
        <v>43009</v>
      </c>
      <c r="L32" s="427"/>
      <c r="M32" s="427"/>
      <c r="N32" s="427"/>
      <c r="O32" s="427"/>
      <c r="P32" s="427"/>
      <c r="Q32" s="427"/>
      <c r="R32" s="427"/>
      <c r="S32" s="427"/>
      <c r="T32" s="427"/>
      <c r="U32" s="427"/>
      <c r="V32" s="427"/>
      <c r="W32" s="427"/>
      <c r="X32" s="427"/>
      <c r="Y32" s="427"/>
      <c r="Z32" s="427"/>
      <c r="AG32" s="88"/>
    </row>
    <row r="33" spans="2:37" s="86" customFormat="1" ht="17.25" customHeight="1">
      <c r="O33" s="420" t="s">
        <v>255</v>
      </c>
      <c r="P33" s="421"/>
      <c r="Q33" s="421"/>
      <c r="R33" s="421"/>
      <c r="S33" s="421"/>
      <c r="T33" s="421"/>
      <c r="U33" s="421"/>
      <c r="V33" s="421"/>
      <c r="W33" s="425" t="s">
        <v>256</v>
      </c>
      <c r="X33" s="329"/>
      <c r="Y33" s="329"/>
      <c r="Z33" s="329"/>
      <c r="AA33" s="329"/>
      <c r="AB33" s="329"/>
      <c r="AC33" s="329"/>
      <c r="AD33" s="329"/>
      <c r="AG33" s="89"/>
    </row>
    <row r="34" spans="2:37" s="85" customFormat="1" ht="19.5" customHeight="1">
      <c r="O34" s="48"/>
      <c r="P34" s="48"/>
      <c r="Q34" s="432">
        <f>W31*0.9</f>
        <v>617690.27743470005</v>
      </c>
      <c r="R34" s="427"/>
      <c r="S34" s="427"/>
      <c r="T34" s="427"/>
      <c r="U34" s="48"/>
      <c r="V34" s="48"/>
      <c r="W34" s="48"/>
      <c r="X34" s="48"/>
      <c r="Y34" s="432">
        <f>W31*1.1</f>
        <v>754954.78353130003</v>
      </c>
      <c r="Z34" s="427"/>
      <c r="AA34" s="427"/>
      <c r="AB34" s="427"/>
      <c r="AC34" s="48"/>
      <c r="AD34" s="48"/>
      <c r="AG34" s="86"/>
      <c r="AH34" s="86"/>
      <c r="AI34" s="86"/>
      <c r="AJ34" s="86"/>
      <c r="AK34" s="86"/>
    </row>
    <row r="35" spans="2:37" s="85" customFormat="1" ht="19.5" customHeight="1">
      <c r="Q35" s="94"/>
      <c r="R35" s="95"/>
      <c r="S35" s="95"/>
      <c r="T35" s="95"/>
      <c r="Y35" s="94"/>
      <c r="Z35" s="95"/>
      <c r="AA35" s="95"/>
      <c r="AB35" s="95"/>
      <c r="AG35" s="86"/>
      <c r="AH35" s="86"/>
      <c r="AI35" s="86"/>
      <c r="AJ35" s="86"/>
      <c r="AK35" s="86"/>
    </row>
    <row r="36" spans="2:37" ht="15.75" customHeight="1">
      <c r="B36" s="93"/>
      <c r="C36" s="90"/>
      <c r="D36" s="90"/>
      <c r="E36" s="90"/>
      <c r="F36" s="90"/>
      <c r="G36" s="90"/>
      <c r="H36" s="90"/>
      <c r="I36" s="90"/>
      <c r="J36" s="90"/>
      <c r="K36" s="90"/>
      <c r="L36" s="90"/>
      <c r="M36" s="90"/>
      <c r="N36" s="90"/>
      <c r="O36" s="90"/>
      <c r="P36" s="90"/>
      <c r="Q36" s="90"/>
      <c r="R36" s="90"/>
      <c r="S36" s="90"/>
      <c r="T36" s="90"/>
      <c r="U36" s="90"/>
      <c r="V36" s="90"/>
      <c r="W36" s="90"/>
      <c r="X36" s="90"/>
      <c r="Y36" s="90"/>
      <c r="Z36" s="90"/>
      <c r="AA36" s="90"/>
      <c r="AB36" s="90"/>
      <c r="AC36" s="90"/>
      <c r="AD36" s="90"/>
      <c r="AE36" s="73"/>
      <c r="AG36" s="86"/>
      <c r="AH36" s="86"/>
      <c r="AI36" s="86"/>
      <c r="AJ36" s="86"/>
      <c r="AK36" s="86"/>
    </row>
    <row r="37" spans="2:37" ht="10.5" customHeight="1"/>
    <row r="38" spans="2:37" ht="14.25" customHeight="1">
      <c r="B38" s="429"/>
      <c r="C38" s="424"/>
    </row>
    <row r="39" spans="2:37" ht="14.25" customHeight="1">
      <c r="B39" s="429"/>
      <c r="C39" s="424"/>
    </row>
    <row r="40" spans="2:37" ht="14.25" customHeight="1">
      <c r="B40" s="429"/>
      <c r="C40" s="424"/>
    </row>
    <row r="41" spans="2:37" ht="14.25" customHeight="1">
      <c r="B41" s="429"/>
      <c r="C41" s="424"/>
    </row>
    <row r="42" spans="2:37" ht="14.25" customHeight="1">
      <c r="B42" s="429"/>
      <c r="C42" s="424"/>
    </row>
    <row r="43" spans="2:37" ht="14.25" customHeight="1">
      <c r="B43" s="429"/>
      <c r="C43" s="424"/>
    </row>
    <row r="44" spans="2:37" ht="14.25" customHeight="1">
      <c r="B44" s="429"/>
      <c r="C44" s="424"/>
    </row>
    <row r="45" spans="2:37" ht="15" customHeight="1">
      <c r="B45" s="96"/>
    </row>
    <row r="46" spans="2:37" ht="15.75" customHeight="1">
      <c r="B46" s="93"/>
      <c r="C46" s="90"/>
      <c r="D46" s="90"/>
      <c r="E46" s="90"/>
      <c r="F46" s="90"/>
      <c r="G46" s="90"/>
      <c r="H46" s="90"/>
      <c r="I46" s="90"/>
      <c r="J46" s="90"/>
      <c r="K46" s="90"/>
      <c r="L46" s="90"/>
      <c r="M46" s="90"/>
      <c r="N46" s="90"/>
      <c r="O46" s="90"/>
      <c r="P46" s="90"/>
      <c r="Q46" s="90"/>
      <c r="R46" s="90"/>
      <c r="S46" s="90"/>
      <c r="T46" s="90"/>
      <c r="U46" s="90"/>
      <c r="V46" s="90"/>
      <c r="W46" s="90"/>
      <c r="X46" s="90"/>
      <c r="Y46" s="90"/>
      <c r="Z46" s="90"/>
      <c r="AA46" s="90"/>
      <c r="AB46" s="90"/>
      <c r="AC46" s="90"/>
      <c r="AD46" s="90"/>
      <c r="AE46" s="90"/>
    </row>
    <row r="47" spans="2:37" ht="15.75" customHeight="1">
      <c r="B47" s="93"/>
      <c r="C47" s="90"/>
      <c r="D47" s="90"/>
      <c r="E47" s="90"/>
      <c r="F47" s="90"/>
      <c r="G47" s="90"/>
      <c r="H47" s="90"/>
      <c r="I47" s="90"/>
      <c r="J47" s="90"/>
      <c r="K47" s="90"/>
      <c r="L47" s="90"/>
      <c r="M47" s="90"/>
      <c r="N47" s="90"/>
      <c r="O47" s="90"/>
      <c r="P47" s="90"/>
      <c r="Q47" s="90"/>
      <c r="R47" s="90"/>
      <c r="S47" s="90"/>
      <c r="T47" s="90"/>
      <c r="U47" s="90"/>
      <c r="V47" s="90"/>
      <c r="W47" s="90"/>
      <c r="X47" s="90"/>
      <c r="Y47" s="90"/>
      <c r="Z47" s="90"/>
      <c r="AA47" s="90"/>
      <c r="AB47" s="90"/>
      <c r="AC47" s="90"/>
      <c r="AD47" s="90"/>
      <c r="AE47" s="90"/>
    </row>
    <row r="48" spans="2:37" ht="14.25" customHeight="1"/>
    <row r="49" spans="5:16" ht="13.5" customHeight="1">
      <c r="E49" s="433"/>
      <c r="F49" s="424"/>
      <c r="G49" s="424"/>
      <c r="H49" s="424"/>
      <c r="I49" s="91"/>
      <c r="J49" s="91"/>
      <c r="K49" s="91"/>
      <c r="L49" s="91"/>
      <c r="M49" s="91"/>
      <c r="N49" s="91"/>
      <c r="O49" s="91"/>
      <c r="P49" s="91"/>
    </row>
    <row r="50" spans="5:16" ht="13.5" customHeight="1">
      <c r="H50" s="92"/>
      <c r="I50" s="92"/>
      <c r="J50" s="92"/>
      <c r="K50" s="92"/>
      <c r="L50" s="92"/>
      <c r="M50" s="92"/>
      <c r="N50" s="92"/>
      <c r="O50" s="92"/>
      <c r="P50" s="92"/>
    </row>
    <row r="51" spans="5:16" ht="11.25" customHeight="1"/>
    <row r="52" spans="5:16" ht="14.25" customHeight="1">
      <c r="H52" s="422"/>
      <c r="I52" s="329"/>
      <c r="J52" s="329"/>
      <c r="K52" s="329"/>
      <c r="L52" s="329"/>
      <c r="M52" s="329"/>
      <c r="N52" s="329"/>
      <c r="O52" s="329"/>
      <c r="P52" s="329"/>
    </row>
    <row r="53" spans="5:16" ht="6.75" customHeight="1"/>
    <row r="54" spans="5:16" ht="12.75" customHeight="1"/>
    <row r="55" spans="5:16" ht="13.5" customHeight="1">
      <c r="H55" s="431"/>
      <c r="I55" s="329"/>
      <c r="J55" s="329"/>
      <c r="K55" s="329"/>
      <c r="L55" s="329"/>
      <c r="M55" s="329"/>
      <c r="N55" s="329"/>
      <c r="O55" s="329"/>
      <c r="P55" s="329"/>
    </row>
    <row r="56" spans="5:16" ht="4.5" customHeight="1"/>
    <row r="57" spans="5:16" ht="14.25" customHeight="1">
      <c r="H57" s="422"/>
      <c r="I57" s="329"/>
      <c r="J57" s="329"/>
      <c r="K57" s="329"/>
      <c r="L57" s="329"/>
      <c r="M57" s="329"/>
      <c r="N57" s="329"/>
      <c r="O57" s="329"/>
      <c r="P57" s="329"/>
    </row>
    <row r="58" spans="5:16" ht="6.75" customHeight="1"/>
  </sheetData>
  <mergeCells count="38">
    <mergeCell ref="B2:AD2"/>
    <mergeCell ref="R10:U10"/>
    <mergeCell ref="W24:Z24"/>
    <mergeCell ref="B44:C44"/>
    <mergeCell ref="B38:C38"/>
    <mergeCell ref="R16:U16"/>
    <mergeCell ref="W30:Z30"/>
    <mergeCell ref="W26:Z26"/>
    <mergeCell ref="B40:C40"/>
    <mergeCell ref="B16:G16"/>
    <mergeCell ref="K32:Z32"/>
    <mergeCell ref="W31:Z31"/>
    <mergeCell ref="R12:U12"/>
    <mergeCell ref="W22:Z22"/>
    <mergeCell ref="Y34:AB34"/>
    <mergeCell ref="I10:P10"/>
    <mergeCell ref="B10:G10"/>
    <mergeCell ref="H57:P57"/>
    <mergeCell ref="B42:C42"/>
    <mergeCell ref="I16:P16"/>
    <mergeCell ref="W25:Z25"/>
    <mergeCell ref="H55:P55"/>
    <mergeCell ref="Q34:T34"/>
    <mergeCell ref="B41:C41"/>
    <mergeCell ref="E49:H49"/>
    <mergeCell ref="B43:C43"/>
    <mergeCell ref="R18:U18"/>
    <mergeCell ref="W14:Z14"/>
    <mergeCell ref="B39:C39"/>
    <mergeCell ref="W28:Z28"/>
    <mergeCell ref="W27:Z27"/>
    <mergeCell ref="W17:Z17"/>
    <mergeCell ref="O33:V33"/>
    <mergeCell ref="H52:P52"/>
    <mergeCell ref="W11:Z11"/>
    <mergeCell ref="W33:AD33"/>
    <mergeCell ref="W29:Z29"/>
    <mergeCell ref="W23:Z23"/>
  </mergeCells>
  <conditionalFormatting sqref="B10:G10 B16:G16">
    <cfRule type="cellIs" dxfId="0" priority="2" stopIfTrue="1" operator="equal">
      <formula>" "</formula>
    </cfRule>
  </conditionalFormatting>
  <printOptions horizontalCentered="1" verticalCentered="1"/>
  <pageMargins left="0.51181102362204722" right="0.51181102362204722" top="0.78740157480314965" bottom="0.78740157480314965" header="0.31496062992125978" footer="0.31496062992125978"/>
  <pageSetup paperSize="9" scale="71" orientation="portrait" r:id="rId1"/>
  <colBreaks count="2" manualBreakCount="2">
    <brk id="33" max="1048575" man="1"/>
    <brk id="34" max="1048575" man="1"/>
  </colBreaks>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L24"/>
  <sheetViews>
    <sheetView view="pageBreakPreview" topLeftCell="A2" zoomScaleNormal="100" zoomScaleSheetLayoutView="100" workbookViewId="0">
      <selection activeCell="H24" sqref="H24"/>
    </sheetView>
  </sheetViews>
  <sheetFormatPr defaultColWidth="9.140625" defaultRowHeight="12.75"/>
  <cols>
    <col min="1" max="1" width="9.140625" style="1" customWidth="1"/>
    <col min="2" max="2" width="35.7109375" style="1" customWidth="1"/>
    <col min="3" max="3" width="11.42578125" style="1" customWidth="1"/>
    <col min="4" max="4" width="16.42578125" style="1" customWidth="1"/>
    <col min="5" max="5" width="9.7109375" style="1" bestFit="1" customWidth="1"/>
    <col min="6" max="6" width="15.7109375" style="1" customWidth="1"/>
    <col min="7" max="7" width="10.140625" style="1" customWidth="1"/>
    <col min="8" max="8" width="14.28515625" style="1" customWidth="1"/>
    <col min="9" max="9" width="9.140625" style="1" customWidth="1"/>
    <col min="10" max="16384" width="9.140625" style="1"/>
  </cols>
  <sheetData>
    <row r="1" spans="2:12" ht="17.100000000000001" customHeight="1">
      <c r="B1" s="461" t="s">
        <v>231</v>
      </c>
      <c r="C1" s="462"/>
      <c r="D1" s="462"/>
      <c r="E1" s="462"/>
      <c r="F1" s="462"/>
      <c r="G1" s="462"/>
      <c r="H1" s="463"/>
    </row>
    <row r="2" spans="2:12" ht="17.100000000000001" customHeight="1">
      <c r="B2" s="458"/>
      <c r="C2" s="459"/>
      <c r="D2" s="459"/>
      <c r="E2" s="459"/>
      <c r="F2" s="459"/>
      <c r="G2" s="459"/>
      <c r="H2" s="460"/>
      <c r="K2" s="7"/>
      <c r="L2" s="8"/>
    </row>
    <row r="3" spans="2:12" ht="17.100000000000001" customHeight="1">
      <c r="B3" s="50"/>
      <c r="C3" s="3"/>
      <c r="D3" s="3"/>
      <c r="E3" s="3"/>
      <c r="G3" s="6"/>
      <c r="H3" s="51"/>
    </row>
    <row r="4" spans="2:12">
      <c r="B4" s="52" t="s">
        <v>257</v>
      </c>
      <c r="C4" s="3"/>
      <c r="D4" s="3"/>
      <c r="E4" s="3"/>
      <c r="F4" s="4"/>
      <c r="G4" s="4"/>
      <c r="H4" s="53"/>
    </row>
    <row r="5" spans="2:12">
      <c r="B5" s="54" t="s">
        <v>258</v>
      </c>
      <c r="C5" s="9"/>
      <c r="D5" s="4"/>
      <c r="E5" s="4"/>
      <c r="F5" s="4"/>
      <c r="G5" s="4"/>
      <c r="H5" s="55"/>
    </row>
    <row r="6" spans="2:12" s="10" customFormat="1" ht="12.75" customHeight="1">
      <c r="B6" s="451" t="s">
        <v>259</v>
      </c>
      <c r="C6" s="453" t="s">
        <v>260</v>
      </c>
      <c r="D6" s="449" t="s">
        <v>261</v>
      </c>
      <c r="E6" s="455" t="s">
        <v>262</v>
      </c>
      <c r="F6" s="455" t="s">
        <v>263</v>
      </c>
      <c r="G6" s="446" t="s">
        <v>264</v>
      </c>
      <c r="H6" s="447"/>
    </row>
    <row r="7" spans="2:12" s="10" customFormat="1" ht="22.5" customHeight="1">
      <c r="B7" s="452"/>
      <c r="C7" s="450"/>
      <c r="D7" s="450"/>
      <c r="E7" s="263"/>
      <c r="F7" s="263"/>
      <c r="G7" s="47" t="s">
        <v>265</v>
      </c>
      <c r="H7" s="56" t="s">
        <v>20</v>
      </c>
    </row>
    <row r="8" spans="2:12">
      <c r="B8" s="57"/>
      <c r="C8" s="44"/>
      <c r="D8" s="45"/>
      <c r="E8" s="46"/>
      <c r="F8" s="11"/>
      <c r="G8" s="12"/>
      <c r="H8" s="58">
        <f>TRUNC(F8*G8,2)</f>
        <v>0</v>
      </c>
    </row>
    <row r="9" spans="2:12">
      <c r="B9" s="448" t="s">
        <v>20</v>
      </c>
      <c r="C9" s="250"/>
      <c r="D9" s="250"/>
      <c r="E9" s="250"/>
      <c r="F9" s="250"/>
      <c r="G9" s="251"/>
      <c r="H9" s="59">
        <f>TRUNC(SUM(H8:H8),2)</f>
        <v>0</v>
      </c>
    </row>
    <row r="10" spans="2:12">
      <c r="B10" s="60" t="s">
        <v>266</v>
      </c>
      <c r="C10" s="16"/>
      <c r="D10" s="3"/>
      <c r="E10" s="3"/>
      <c r="F10" s="3"/>
      <c r="G10" s="3"/>
      <c r="H10" s="61"/>
    </row>
    <row r="11" spans="2:12" ht="12.75" customHeight="1">
      <c r="B11" s="451" t="s">
        <v>259</v>
      </c>
      <c r="C11" s="453" t="s">
        <v>260</v>
      </c>
      <c r="D11" s="449" t="s">
        <v>261</v>
      </c>
      <c r="E11" s="454" t="s">
        <v>267</v>
      </c>
      <c r="F11" s="454" t="s">
        <v>263</v>
      </c>
      <c r="G11" s="446" t="s">
        <v>264</v>
      </c>
      <c r="H11" s="447"/>
    </row>
    <row r="12" spans="2:12" ht="22.5" customHeight="1">
      <c r="B12" s="452"/>
      <c r="C12" s="450"/>
      <c r="D12" s="450"/>
      <c r="E12" s="263"/>
      <c r="F12" s="263"/>
      <c r="G12" s="47" t="s">
        <v>265</v>
      </c>
      <c r="H12" s="56" t="s">
        <v>20</v>
      </c>
    </row>
    <row r="13" spans="2:12">
      <c r="B13" s="62"/>
      <c r="C13" s="17"/>
      <c r="D13" s="18"/>
      <c r="E13" s="19"/>
      <c r="F13" s="19"/>
      <c r="G13" s="20"/>
      <c r="H13" s="58">
        <f>TRUNC(F13*G13,2)</f>
        <v>0</v>
      </c>
    </row>
    <row r="14" spans="2:12">
      <c r="B14" s="448" t="s">
        <v>20</v>
      </c>
      <c r="C14" s="250"/>
      <c r="D14" s="250"/>
      <c r="E14" s="250"/>
      <c r="F14" s="250"/>
      <c r="G14" s="251"/>
      <c r="H14" s="63">
        <f>TRUNC(SUM(H13:H13),2)</f>
        <v>0</v>
      </c>
    </row>
    <row r="15" spans="2:12">
      <c r="B15" s="60" t="s">
        <v>268</v>
      </c>
      <c r="C15" s="16"/>
      <c r="D15" s="3"/>
      <c r="E15" s="3"/>
      <c r="F15" s="3"/>
      <c r="G15" s="3"/>
      <c r="H15" s="53"/>
    </row>
    <row r="16" spans="2:12" ht="12.75" customHeight="1">
      <c r="B16" s="451" t="s">
        <v>259</v>
      </c>
      <c r="C16" s="453" t="s">
        <v>269</v>
      </c>
      <c r="D16" s="449" t="s">
        <v>261</v>
      </c>
      <c r="E16" s="454" t="s">
        <v>267</v>
      </c>
      <c r="F16" s="454" t="s">
        <v>263</v>
      </c>
      <c r="G16" s="446" t="s">
        <v>264</v>
      </c>
      <c r="H16" s="447"/>
    </row>
    <row r="17" spans="2:8" ht="21" customHeight="1">
      <c r="B17" s="452"/>
      <c r="C17" s="450"/>
      <c r="D17" s="450"/>
      <c r="E17" s="263"/>
      <c r="F17" s="263"/>
      <c r="G17" s="22" t="s">
        <v>265</v>
      </c>
      <c r="H17" s="56" t="s">
        <v>20</v>
      </c>
    </row>
    <row r="18" spans="2:8" s="10" customFormat="1">
      <c r="B18" s="103" t="s">
        <v>270</v>
      </c>
      <c r="C18" s="13"/>
      <c r="D18" s="21"/>
      <c r="E18" s="104"/>
      <c r="F18" s="15"/>
      <c r="G18" s="14"/>
      <c r="H18" s="58">
        <f>TRUNC(F18*G18,2)</f>
        <v>0</v>
      </c>
    </row>
    <row r="19" spans="2:8">
      <c r="B19" s="448" t="s">
        <v>20</v>
      </c>
      <c r="C19" s="250"/>
      <c r="D19" s="250"/>
      <c r="E19" s="250"/>
      <c r="F19" s="250"/>
      <c r="G19" s="251"/>
      <c r="H19" s="64">
        <f>TRUNC(SUM(H18:H18),2)</f>
        <v>0</v>
      </c>
    </row>
    <row r="20" spans="2:8">
      <c r="B20" s="60" t="s">
        <v>271</v>
      </c>
      <c r="C20" s="16"/>
      <c r="D20" s="3"/>
      <c r="E20" s="3"/>
      <c r="F20" s="3"/>
      <c r="G20" s="3"/>
      <c r="H20" s="53"/>
    </row>
    <row r="21" spans="2:8" ht="12.75" customHeight="1">
      <c r="B21" s="451" t="s">
        <v>259</v>
      </c>
      <c r="C21" s="453" t="s">
        <v>260</v>
      </c>
      <c r="D21" s="449" t="s">
        <v>261</v>
      </c>
      <c r="E21" s="454" t="s">
        <v>267</v>
      </c>
      <c r="F21" s="454" t="s">
        <v>263</v>
      </c>
      <c r="G21" s="446" t="s">
        <v>264</v>
      </c>
      <c r="H21" s="447"/>
    </row>
    <row r="22" spans="2:8" ht="21.75" customHeight="1">
      <c r="B22" s="452"/>
      <c r="C22" s="450"/>
      <c r="D22" s="450"/>
      <c r="E22" s="263"/>
      <c r="F22" s="263"/>
      <c r="G22" s="47" t="s">
        <v>265</v>
      </c>
      <c r="H22" s="56" t="s">
        <v>20</v>
      </c>
    </row>
    <row r="23" spans="2:8">
      <c r="B23" s="65"/>
      <c r="C23" s="23"/>
      <c r="D23" s="24"/>
      <c r="E23" s="25"/>
      <c r="F23" s="25"/>
      <c r="G23" s="26"/>
      <c r="H23" s="58">
        <f>TRUNC(F23*G23,2)</f>
        <v>0</v>
      </c>
    </row>
    <row r="24" spans="2:8" ht="13.5" customHeight="1" thickBot="1">
      <c r="B24" s="456" t="s">
        <v>20</v>
      </c>
      <c r="C24" s="457"/>
      <c r="D24" s="457"/>
      <c r="E24" s="457"/>
      <c r="F24" s="457"/>
      <c r="G24" s="393"/>
      <c r="H24" s="66"/>
    </row>
  </sheetData>
  <mergeCells count="30">
    <mergeCell ref="B24:G24"/>
    <mergeCell ref="B2:H2"/>
    <mergeCell ref="E16:E17"/>
    <mergeCell ref="F11:F12"/>
    <mergeCell ref="B1:H1"/>
    <mergeCell ref="G16:H16"/>
    <mergeCell ref="E21:E22"/>
    <mergeCell ref="B16:B17"/>
    <mergeCell ref="C6:C7"/>
    <mergeCell ref="D6:D7"/>
    <mergeCell ref="F16:F17"/>
    <mergeCell ref="B21:B22"/>
    <mergeCell ref="F6:F7"/>
    <mergeCell ref="B9:G9"/>
    <mergeCell ref="C21:C22"/>
    <mergeCell ref="D16:D17"/>
    <mergeCell ref="E6:E7"/>
    <mergeCell ref="G6:H6"/>
    <mergeCell ref="C11:C12"/>
    <mergeCell ref="E11:E12"/>
    <mergeCell ref="B6:B7"/>
    <mergeCell ref="G21:H21"/>
    <mergeCell ref="B14:G14"/>
    <mergeCell ref="G11:H11"/>
    <mergeCell ref="D21:D22"/>
    <mergeCell ref="B11:B12"/>
    <mergeCell ref="D11:D12"/>
    <mergeCell ref="C16:C17"/>
    <mergeCell ref="B19:G19"/>
    <mergeCell ref="F21:F22"/>
  </mergeCells>
  <printOptions horizontalCentered="1" verticalCentered="1"/>
  <pageMargins left="0.51181102362204722" right="0.51181102362204722" top="0.78740157480314965" bottom="0.78740157480314965" header="0.31496062992125978" footer="0.31496062992125978"/>
  <pageSetup paperSize="9" scale="83" orientation="portrait"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M8"/>
  <sheetViews>
    <sheetView view="pageBreakPreview" zoomScale="145" zoomScaleNormal="100" zoomScaleSheetLayoutView="145" workbookViewId="0">
      <selection activeCell="F13" sqref="F13"/>
    </sheetView>
  </sheetViews>
  <sheetFormatPr defaultColWidth="9.140625" defaultRowHeight="12.75"/>
  <cols>
    <col min="1" max="1" width="9.140625" style="28" customWidth="1"/>
    <col min="2" max="2" width="58.42578125" style="28" customWidth="1"/>
    <col min="3" max="3" width="6.7109375" style="28" customWidth="1"/>
    <col min="4" max="4" width="7.85546875" style="28" customWidth="1"/>
    <col min="5" max="5" width="8.85546875" style="28" customWidth="1"/>
    <col min="6" max="6" width="10.140625" style="28" customWidth="1"/>
    <col min="7" max="7" width="12.7109375" style="28" customWidth="1"/>
    <col min="8" max="8" width="9.140625" style="28" customWidth="1"/>
    <col min="9" max="16384" width="9.140625" style="28"/>
  </cols>
  <sheetData>
    <row r="1" spans="2:13" s="1" customFormat="1" ht="17.100000000000001" customHeight="1">
      <c r="B1" s="466" t="s">
        <v>231</v>
      </c>
      <c r="C1" s="459"/>
      <c r="D1" s="459"/>
      <c r="E1" s="459"/>
      <c r="F1" s="459"/>
      <c r="G1" s="459"/>
      <c r="H1" s="41"/>
      <c r="I1" s="41"/>
    </row>
    <row r="2" spans="2:13" s="1" customFormat="1" ht="17.100000000000001" customHeight="1">
      <c r="B2" s="43"/>
      <c r="C2" s="43"/>
      <c r="D2" s="43"/>
      <c r="E2" s="43"/>
      <c r="F2" s="43"/>
      <c r="G2" s="43"/>
      <c r="H2" s="42"/>
      <c r="I2" s="42"/>
      <c r="L2" s="7"/>
      <c r="M2" s="8"/>
    </row>
    <row r="3" spans="2:13" s="1" customFormat="1" ht="17.100000000000001" customHeight="1">
      <c r="B3" s="2"/>
      <c r="C3" s="2"/>
      <c r="D3" s="2"/>
      <c r="E3" s="2"/>
      <c r="I3" s="5"/>
    </row>
    <row r="4" spans="2:13" ht="13.5" customHeight="1">
      <c r="B4" s="467" t="s">
        <v>272</v>
      </c>
      <c r="C4" s="250"/>
      <c r="D4" s="250"/>
      <c r="E4" s="250"/>
      <c r="F4" s="250"/>
      <c r="G4" s="251"/>
      <c r="H4" s="27"/>
    </row>
    <row r="5" spans="2:13">
      <c r="B5" s="468" t="s">
        <v>273</v>
      </c>
      <c r="C5" s="464" t="s">
        <v>274</v>
      </c>
      <c r="D5" s="464" t="s">
        <v>275</v>
      </c>
      <c r="E5" s="464" t="s">
        <v>276</v>
      </c>
      <c r="F5" s="465" t="s">
        <v>277</v>
      </c>
      <c r="G5" s="250"/>
      <c r="I5" s="29"/>
    </row>
    <row r="6" spans="2:13">
      <c r="B6" s="263"/>
      <c r="C6" s="450"/>
      <c r="D6" s="450"/>
      <c r="E6" s="450"/>
      <c r="F6" s="30" t="s">
        <v>265</v>
      </c>
      <c r="G6" s="31" t="s">
        <v>20</v>
      </c>
    </row>
    <row r="7" spans="2:13">
      <c r="B7" s="33"/>
      <c r="C7" s="34"/>
      <c r="D7" s="34"/>
      <c r="E7" s="35"/>
      <c r="F7" s="35"/>
      <c r="G7" s="32"/>
    </row>
    <row r="8" spans="2:13" s="40" customFormat="1" ht="18.75" customHeight="1">
      <c r="B8" s="36" t="s">
        <v>20</v>
      </c>
      <c r="C8" s="36"/>
      <c r="D8" s="36"/>
      <c r="E8" s="37"/>
      <c r="F8" s="38"/>
      <c r="G8" s="39"/>
    </row>
  </sheetData>
  <mergeCells count="7">
    <mergeCell ref="E5:E6"/>
    <mergeCell ref="F5:G5"/>
    <mergeCell ref="B1:G1"/>
    <mergeCell ref="B4:G4"/>
    <mergeCell ref="C5:C6"/>
    <mergeCell ref="B5:B6"/>
    <mergeCell ref="D5:D6"/>
  </mergeCells>
  <printOptions horizontalCentered="1" verticalCentered="1"/>
  <pageMargins left="0.51181102362204722" right="0.51181102362204722" top="0.78740157480314965" bottom="0.78740157480314965" header="0.31496062992125978" footer="0.31496062992125978"/>
  <pageSetup paperSize="9" scale="90"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6"/>
  <sheetViews>
    <sheetView workbookViewId="0">
      <selection sqref="A1:N1"/>
    </sheetView>
  </sheetViews>
  <sheetFormatPr defaultRowHeight="12.75"/>
  <cols>
    <col min="1" max="1" width="8.42578125" customWidth="1"/>
    <col min="65" max="65" width="8.42578125" customWidth="1"/>
  </cols>
  <sheetData>
    <row r="1" spans="1:19" ht="15" customHeight="1">
      <c r="A1" s="474" t="s">
        <v>7</v>
      </c>
      <c r="B1" s="248"/>
      <c r="C1" s="248"/>
      <c r="D1" s="248"/>
      <c r="E1" s="248"/>
      <c r="F1" s="248"/>
      <c r="G1" s="248"/>
      <c r="H1" s="248"/>
      <c r="I1" s="248"/>
      <c r="J1" s="248"/>
      <c r="K1" s="248"/>
      <c r="L1" s="248"/>
      <c r="M1" s="248"/>
      <c r="N1" s="248"/>
      <c r="O1" s="475"/>
      <c r="P1" s="248"/>
      <c r="Q1" s="248"/>
      <c r="R1" s="248"/>
      <c r="S1" s="248"/>
    </row>
    <row r="2" spans="1:19" ht="15" customHeight="1">
      <c r="A2" s="476" t="s">
        <v>1</v>
      </c>
      <c r="B2" s="248"/>
      <c r="C2" s="476" t="s">
        <v>278</v>
      </c>
      <c r="D2" s="248"/>
      <c r="E2" s="248"/>
      <c r="F2" s="248"/>
      <c r="G2" s="248"/>
      <c r="H2" s="248"/>
      <c r="I2" s="248"/>
      <c r="J2" s="472" t="s">
        <v>279</v>
      </c>
      <c r="K2" s="248"/>
      <c r="L2" s="248"/>
      <c r="M2" s="248"/>
      <c r="O2" s="239"/>
    </row>
    <row r="3" spans="1:19" ht="15" customHeight="1">
      <c r="A3" s="473" t="s">
        <v>280</v>
      </c>
      <c r="B3" s="248"/>
      <c r="C3" s="473" t="s">
        <v>278</v>
      </c>
      <c r="D3" s="248"/>
      <c r="E3" s="248"/>
      <c r="F3" s="248"/>
      <c r="G3" s="248"/>
      <c r="H3" s="248"/>
      <c r="I3" s="248"/>
      <c r="J3" s="473" t="s">
        <v>281</v>
      </c>
      <c r="K3" s="248"/>
      <c r="L3" s="248"/>
      <c r="M3" s="248"/>
      <c r="N3" s="248"/>
    </row>
    <row r="4" spans="1:19" ht="15" customHeight="1">
      <c r="A4" s="473" t="s">
        <v>282</v>
      </c>
      <c r="B4" s="248"/>
      <c r="C4" s="473" t="s">
        <v>283</v>
      </c>
      <c r="D4" s="248"/>
      <c r="E4" s="248"/>
      <c r="F4" s="248"/>
      <c r="G4" s="248"/>
      <c r="H4" s="248"/>
      <c r="I4" s="248"/>
      <c r="J4" s="471"/>
      <c r="K4" s="248"/>
      <c r="L4" s="248"/>
      <c r="M4" s="248"/>
      <c r="N4" s="248"/>
    </row>
    <row r="5" spans="1:19" ht="15" customHeight="1">
      <c r="A5" s="473" t="s">
        <v>8</v>
      </c>
      <c r="B5" s="248"/>
      <c r="C5" s="473" t="s">
        <v>284</v>
      </c>
      <c r="D5" s="248"/>
      <c r="E5" s="248"/>
      <c r="F5" s="248"/>
      <c r="G5" s="248"/>
      <c r="H5" s="248"/>
      <c r="I5" s="248"/>
      <c r="J5" s="471"/>
      <c r="K5" s="248"/>
      <c r="L5" s="248"/>
      <c r="M5" s="248"/>
      <c r="N5" s="248"/>
    </row>
    <row r="6" spans="1:19" ht="15" customHeight="1">
      <c r="A6" s="473" t="s">
        <v>9</v>
      </c>
      <c r="B6" s="248"/>
      <c r="C6" s="473" t="s">
        <v>285</v>
      </c>
      <c r="D6" s="248"/>
      <c r="E6" s="248"/>
      <c r="F6" s="248"/>
      <c r="G6" s="248"/>
      <c r="H6" s="248"/>
      <c r="I6" s="248"/>
      <c r="J6" s="473" t="s">
        <v>286</v>
      </c>
      <c r="K6" s="248"/>
      <c r="L6" s="248"/>
      <c r="M6" s="248"/>
      <c r="N6" s="248"/>
    </row>
    <row r="7" spans="1:19" ht="15" customHeight="1">
      <c r="A7" s="470" t="s">
        <v>287</v>
      </c>
      <c r="B7" s="248"/>
      <c r="C7" s="248"/>
      <c r="D7" s="248"/>
      <c r="E7" s="248"/>
      <c r="F7" s="248"/>
      <c r="G7" s="248"/>
      <c r="H7" s="248"/>
      <c r="I7" s="248"/>
      <c r="J7" s="248"/>
      <c r="K7" s="248"/>
      <c r="L7" s="248"/>
      <c r="M7" s="248"/>
      <c r="N7" s="248"/>
    </row>
    <row r="8" spans="1:19" ht="15" customHeight="1"/>
    <row r="9" spans="1:19" ht="15" customHeight="1"/>
    <row r="10" spans="1:19" ht="15" customHeight="1"/>
    <row r="11" spans="1:19" ht="15" customHeight="1"/>
    <row r="12" spans="1:19" ht="15" customHeight="1"/>
    <row r="13" spans="1:19" ht="15" customHeight="1"/>
    <row r="14" spans="1:19" ht="15" customHeight="1"/>
    <row r="15" spans="1:19" ht="15" customHeight="1"/>
    <row r="16" spans="1:19" ht="15" customHeight="1"/>
    <row r="17" spans="1:14" ht="15" customHeight="1"/>
    <row r="18" spans="1:14" ht="15" customHeight="1"/>
    <row r="19" spans="1:14" ht="15" customHeight="1"/>
    <row r="20" spans="1:14" ht="15" customHeight="1"/>
    <row r="21" spans="1:14" ht="15" customHeight="1"/>
    <row r="22" spans="1:14" ht="15" customHeight="1"/>
    <row r="23" spans="1:14" ht="15" customHeight="1"/>
    <row r="24" spans="1:14" ht="15" customHeight="1"/>
    <row r="25" spans="1:14" ht="15" customHeight="1"/>
    <row r="26" spans="1:14" ht="15" customHeight="1"/>
    <row r="27" spans="1:14" ht="15" customHeight="1"/>
    <row r="28" spans="1:14" ht="15" customHeight="1"/>
    <row r="29" spans="1:14" ht="15" customHeight="1"/>
    <row r="30" spans="1:14" ht="15" customHeight="1"/>
    <row r="31" spans="1:14" ht="15" customHeight="1">
      <c r="A31" s="470" t="s">
        <v>288</v>
      </c>
      <c r="B31" s="248"/>
      <c r="C31" s="248"/>
      <c r="D31" s="248"/>
      <c r="E31" s="248"/>
      <c r="F31" s="248"/>
      <c r="G31" s="248"/>
      <c r="H31" s="248"/>
      <c r="I31" s="248"/>
      <c r="J31" s="248"/>
      <c r="K31" s="248"/>
      <c r="L31" s="248"/>
      <c r="M31" s="248"/>
      <c r="N31" s="248"/>
    </row>
    <row r="32" spans="1:14" ht="15" customHeight="1">
      <c r="A32" s="469" t="s">
        <v>11</v>
      </c>
      <c r="B32" s="248"/>
      <c r="C32" s="248"/>
      <c r="D32" s="469" t="s">
        <v>12</v>
      </c>
      <c r="E32" s="248"/>
      <c r="F32" s="248"/>
      <c r="G32" s="469" t="s">
        <v>289</v>
      </c>
      <c r="H32" s="248"/>
      <c r="I32" s="248"/>
      <c r="J32" s="469" t="s">
        <v>14</v>
      </c>
      <c r="K32" s="248"/>
      <c r="L32" s="248"/>
      <c r="M32" s="248"/>
    </row>
    <row r="33" spans="1:14" ht="15" customHeight="1">
      <c r="A33" s="469" t="s">
        <v>290</v>
      </c>
      <c r="B33" s="248"/>
      <c r="C33" s="248"/>
      <c r="D33" s="469" t="s">
        <v>291</v>
      </c>
      <c r="E33" s="248"/>
      <c r="F33" s="248"/>
      <c r="G33" s="469" t="s">
        <v>292</v>
      </c>
      <c r="H33" s="248"/>
      <c r="I33" s="248"/>
      <c r="J33" s="469" t="s">
        <v>293</v>
      </c>
      <c r="K33" s="248"/>
      <c r="L33" s="248"/>
      <c r="M33" s="248"/>
    </row>
    <row r="34" spans="1:14" ht="15" customHeight="1">
      <c r="A34" s="470" t="s">
        <v>16</v>
      </c>
      <c r="B34" s="248"/>
      <c r="C34" s="248"/>
      <c r="D34" s="248"/>
      <c r="E34" s="248"/>
      <c r="F34" s="248"/>
      <c r="G34" s="248"/>
      <c r="H34" s="248"/>
      <c r="I34" s="248"/>
      <c r="J34" s="248"/>
      <c r="K34" s="248"/>
      <c r="L34" s="248"/>
      <c r="M34" s="248"/>
      <c r="N34" s="248"/>
    </row>
    <row r="35" spans="1:14" ht="15" customHeight="1">
      <c r="A35" s="469" t="s">
        <v>11</v>
      </c>
      <c r="B35" s="248"/>
      <c r="C35" s="248"/>
      <c r="F35" s="469" t="s">
        <v>294</v>
      </c>
      <c r="G35" s="248"/>
      <c r="H35" s="248"/>
      <c r="K35" s="469" t="s">
        <v>295</v>
      </c>
      <c r="L35" s="248"/>
      <c r="M35" s="248"/>
    </row>
    <row r="36" spans="1:14" ht="15" customHeight="1">
      <c r="A36" s="469" t="s">
        <v>290</v>
      </c>
      <c r="B36" s="248"/>
      <c r="C36" s="248"/>
      <c r="F36" s="469" t="s">
        <v>296</v>
      </c>
      <c r="G36" s="248"/>
      <c r="H36" s="248"/>
      <c r="K36" s="469" t="s">
        <v>297</v>
      </c>
      <c r="L36" s="248"/>
      <c r="M36" s="248"/>
    </row>
  </sheetData>
  <mergeCells count="34">
    <mergeCell ref="O1:S1"/>
    <mergeCell ref="A7:N7"/>
    <mergeCell ref="C6:I6"/>
    <mergeCell ref="A35:C35"/>
    <mergeCell ref="A3:B3"/>
    <mergeCell ref="D33:F33"/>
    <mergeCell ref="C5:I5"/>
    <mergeCell ref="J4:N4"/>
    <mergeCell ref="A2:B2"/>
    <mergeCell ref="G32:I32"/>
    <mergeCell ref="C4:I4"/>
    <mergeCell ref="A5:B5"/>
    <mergeCell ref="A4:B4"/>
    <mergeCell ref="J3:N3"/>
    <mergeCell ref="K35:M35"/>
    <mergeCell ref="C2:I2"/>
    <mergeCell ref="J2:M2"/>
    <mergeCell ref="A6:B6"/>
    <mergeCell ref="J33:M33"/>
    <mergeCell ref="G33:I33"/>
    <mergeCell ref="A1:N1"/>
    <mergeCell ref="A33:C33"/>
    <mergeCell ref="C3:I3"/>
    <mergeCell ref="A32:C32"/>
    <mergeCell ref="J6:N6"/>
    <mergeCell ref="J32:M32"/>
    <mergeCell ref="A31:N31"/>
    <mergeCell ref="F36:H36"/>
    <mergeCell ref="A34:N34"/>
    <mergeCell ref="J5:N5"/>
    <mergeCell ref="D32:F32"/>
    <mergeCell ref="F35:H35"/>
    <mergeCell ref="A36:C36"/>
    <mergeCell ref="K36:M36"/>
  </mergeCells>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13</vt:i4>
      </vt:variant>
      <vt:variant>
        <vt:lpstr>Intervalos nomeados</vt:lpstr>
      </vt:variant>
      <vt:variant>
        <vt:i4>2</vt:i4>
      </vt:variant>
    </vt:vector>
  </HeadingPairs>
  <TitlesOfParts>
    <vt:vector size="15" baseType="lpstr">
      <vt:lpstr>CAPA DO LAUDO</vt:lpstr>
      <vt:lpstr>FATORES</vt:lpstr>
      <vt:lpstr>UTIL_LAUDO</vt:lpstr>
      <vt:lpstr>AREA UTIL </vt:lpstr>
      <vt:lpstr>AMOSTRAS</vt:lpstr>
      <vt:lpstr>QUADRO</vt:lpstr>
      <vt:lpstr>PLANILHA HOMOG</vt:lpstr>
      <vt:lpstr>SANEAMENTO</vt:lpstr>
      <vt:lpstr>LIQUIDAÇÃO</vt:lpstr>
      <vt:lpstr>LAUDO DE AVALIAÇÃO</vt:lpstr>
      <vt:lpstr>LAUDO DE AVALIAÇÃO 12-12.4</vt:lpstr>
      <vt:lpstr>LAUDO DE AVALIAÇÃO 13</vt:lpstr>
      <vt:lpstr>quadro_resumo</vt:lpstr>
      <vt:lpstr>'LAUDO DE AVALIAÇÃO 12-12.4'!Print_Area</vt:lpstr>
      <vt:lpstr>'LAUDO DE AVALIAÇÃO 13'!Print_Area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valec</dc:creator>
  <cp:lastModifiedBy>Agropassos Engenharia</cp:lastModifiedBy>
  <cp:lastPrinted>2017-10-03T10:10:58Z</cp:lastPrinted>
  <dcterms:created xsi:type="dcterms:W3CDTF">2007-03-13T17:47:00Z</dcterms:created>
  <dcterms:modified xsi:type="dcterms:W3CDTF">2025-07-04T20:22:51Z</dcterms:modified>
</cp:coreProperties>
</file>