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1. AVALIAÇÕES\01. AVALIAÇÕES SICREDI\01. RURAL\06. JUNHO\Processo nº 123456789 - JOELSON SOUSA JUNIOR\PEÇAS TÉCNICAS\"/>
    </mc:Choice>
  </mc:AlternateContent>
  <bookViews>
    <workbookView xWindow="0" yWindow="0" windowWidth="20490" windowHeight="6930" tabRatio="874" firstSheet="1" activeTab="2"/>
  </bookViews>
  <sheets>
    <sheet name="CAPA DO LAUDO" sheetId="16" r:id="rId1"/>
    <sheet name="FATORES" sheetId="17" r:id="rId2"/>
    <sheet name="AREA UTIL " sheetId="18" r:id="rId3"/>
    <sheet name="AMOSTRAS" sheetId="19" r:id="rId4"/>
    <sheet name="QUADRO" sheetId="20" r:id="rId5"/>
    <sheet name="PLANILHA HOMOG" sheetId="15" r:id="rId6"/>
    <sheet name="SANEAMENTO" sheetId="21" r:id="rId7"/>
    <sheet name="LIQUIDAÇÃO" sheetId="22" r:id="rId8"/>
    <sheet name="LAUDO DE AVALIAÇÃO" sheetId="12" r:id="rId9"/>
    <sheet name="LAUDO DE AVALIAÇÃO 12-12.4" sheetId="10" state="hidden" r:id="rId10"/>
    <sheet name="LAUDO DE AVALIAÇÃO 13" sheetId="11" state="hidden" r:id="rId11"/>
  </sheets>
  <definedNames>
    <definedName name="_xlnm.Print_Area" localSheetId="9">'LAUDO DE AVALIAÇÃO 12-12.4'!$B$1:$H$24</definedName>
    <definedName name="_xlnm.Print_Area" localSheetId="10">'LAUDO DE AVALIAÇÃO 13'!$B$1:$G$8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8" l="1"/>
  <c r="E90" i="19" l="1"/>
  <c r="E89" i="19" s="1"/>
  <c r="E77" i="19"/>
  <c r="E76" i="19" s="1"/>
  <c r="E64" i="19"/>
  <c r="F64" i="19" s="1"/>
  <c r="E51" i="19"/>
  <c r="E25" i="19"/>
  <c r="E24" i="19" s="1"/>
  <c r="E12" i="19"/>
  <c r="E50" i="19"/>
  <c r="H45" i="19"/>
  <c r="E38" i="19"/>
  <c r="E37" i="19" s="1"/>
  <c r="E11" i="19"/>
  <c r="F11" i="19" s="1"/>
  <c r="F20" i="18"/>
  <c r="I5" i="15"/>
  <c r="I4" i="15"/>
  <c r="H32" i="19"/>
  <c r="H84" i="19"/>
  <c r="H19" i="18"/>
  <c r="F12" i="19" l="1"/>
  <c r="G13" i="19" s="1"/>
  <c r="H18" i="18"/>
  <c r="E63" i="19"/>
  <c r="F63" i="19" s="1"/>
  <c r="G65" i="19" s="1"/>
  <c r="E13" i="19"/>
  <c r="F16" i="21" s="1"/>
  <c r="H20" i="18"/>
  <c r="E91" i="19"/>
  <c r="L4" i="20"/>
  <c r="L5" i="20"/>
  <c r="L6" i="20"/>
  <c r="L9" i="20"/>
  <c r="E65" i="19" l="1"/>
  <c r="F13" i="19"/>
  <c r="F65" i="19"/>
  <c r="F25" i="19"/>
  <c r="F76" i="19"/>
  <c r="F90" i="19"/>
  <c r="F37" i="19"/>
  <c r="H71" i="19" l="1"/>
  <c r="F24" i="19" l="1"/>
  <c r="E26" i="19"/>
  <c r="F89" i="19"/>
  <c r="G91" i="19" s="1"/>
  <c r="F26" i="19" l="1"/>
  <c r="G26" i="19"/>
  <c r="N6" i="15"/>
  <c r="G10" i="15" l="1"/>
  <c r="D6" i="20" l="1"/>
  <c r="C6" i="20"/>
  <c r="F11" i="21" l="1"/>
  <c r="O9" i="15"/>
  <c r="O8" i="15"/>
  <c r="O7" i="15"/>
  <c r="O6" i="15"/>
  <c r="O5" i="15"/>
  <c r="O4" i="15"/>
  <c r="I9" i="15"/>
  <c r="I8" i="15"/>
  <c r="I7" i="15"/>
  <c r="I6" i="15"/>
  <c r="E9" i="15"/>
  <c r="E8" i="15"/>
  <c r="E7" i="15"/>
  <c r="E6" i="15"/>
  <c r="E5" i="15"/>
  <c r="E4" i="15"/>
  <c r="D9" i="15"/>
  <c r="D8" i="15"/>
  <c r="D7" i="15"/>
  <c r="D6" i="15"/>
  <c r="D5" i="15"/>
  <c r="D4" i="15"/>
  <c r="B10" i="15"/>
  <c r="B9" i="15"/>
  <c r="B8" i="15"/>
  <c r="B7" i="15"/>
  <c r="B6" i="15"/>
  <c r="B5" i="15"/>
  <c r="B4" i="15"/>
  <c r="K9" i="20"/>
  <c r="K8" i="20"/>
  <c r="K7" i="20"/>
  <c r="K6" i="20"/>
  <c r="K5" i="20"/>
  <c r="K4" i="20"/>
  <c r="D9" i="20"/>
  <c r="D8" i="20"/>
  <c r="D7" i="20"/>
  <c r="D5" i="20"/>
  <c r="D4" i="20"/>
  <c r="C9" i="20"/>
  <c r="C8" i="20"/>
  <c r="C7" i="20"/>
  <c r="C5" i="20"/>
  <c r="C4" i="20"/>
  <c r="F5" i="15" l="1"/>
  <c r="F8" i="15"/>
  <c r="F7" i="15"/>
  <c r="F6" i="15"/>
  <c r="F4" i="15"/>
  <c r="E5" i="20"/>
  <c r="E7" i="20"/>
  <c r="E9" i="20"/>
  <c r="E4" i="20"/>
  <c r="E6" i="20"/>
  <c r="E8" i="20"/>
  <c r="F9" i="15"/>
  <c r="F16" i="22"/>
  <c r="F9" i="22"/>
  <c r="F26" i="21"/>
  <c r="F27" i="21" s="1"/>
  <c r="E78" i="19"/>
  <c r="F77" i="19"/>
  <c r="G78" i="19" s="1"/>
  <c r="H58" i="19"/>
  <c r="F50" i="19"/>
  <c r="E39" i="19"/>
  <c r="F38" i="19"/>
  <c r="G39" i="19" s="1"/>
  <c r="H19" i="19"/>
  <c r="F8" i="20" l="1"/>
  <c r="G7" i="15"/>
  <c r="G4" i="15"/>
  <c r="G9" i="15"/>
  <c r="F17" i="22"/>
  <c r="F18" i="22" s="1"/>
  <c r="F32" i="21"/>
  <c r="F39" i="19"/>
  <c r="F78" i="19"/>
  <c r="J9" i="15"/>
  <c r="L9" i="15"/>
  <c r="N9" i="15"/>
  <c r="F9" i="20" l="1"/>
  <c r="F7" i="20"/>
  <c r="G8" i="15"/>
  <c r="F4" i="20"/>
  <c r="H9" i="15"/>
  <c r="P9" i="15" s="1"/>
  <c r="Q9" i="15" s="1"/>
  <c r="G5" i="15"/>
  <c r="F5" i="20"/>
  <c r="H7" i="15" l="1"/>
  <c r="H4" i="15"/>
  <c r="I16" i="12"/>
  <c r="R16" i="12"/>
  <c r="W23" i="12" s="1"/>
  <c r="W29" i="12"/>
  <c r="H8" i="10"/>
  <c r="H9" i="10" s="1"/>
  <c r="W25" i="12" s="1"/>
  <c r="H13" i="10"/>
  <c r="H14" i="10" s="1"/>
  <c r="W26" i="12" s="1"/>
  <c r="H18" i="10"/>
  <c r="H19" i="10" s="1"/>
  <c r="W27" i="12" s="1"/>
  <c r="H23" i="10"/>
  <c r="J4" i="15"/>
  <c r="L4" i="15"/>
  <c r="N4" i="15"/>
  <c r="H5" i="15"/>
  <c r="J5" i="15"/>
  <c r="L5" i="15"/>
  <c r="N5" i="15"/>
  <c r="J6" i="15"/>
  <c r="L6" i="15"/>
  <c r="J7" i="15"/>
  <c r="L7" i="15"/>
  <c r="N7" i="15"/>
  <c r="H8" i="15"/>
  <c r="J8" i="15"/>
  <c r="L8" i="15"/>
  <c r="N8" i="15"/>
  <c r="A14" i="15"/>
  <c r="W28" i="12"/>
  <c r="P4" i="15" l="1"/>
  <c r="Q4" i="15" s="1"/>
  <c r="W30" i="12"/>
  <c r="P7" i="15"/>
  <c r="Q7" i="15" s="1"/>
  <c r="R18" i="12"/>
  <c r="P5" i="15"/>
  <c r="Q5" i="15" s="1"/>
  <c r="P8" i="15"/>
  <c r="Q8" i="15" s="1"/>
  <c r="F51" i="19"/>
  <c r="F52" i="19" s="1"/>
  <c r="E52" i="19"/>
  <c r="G52" i="19" l="1"/>
  <c r="F6" i="20" l="1"/>
  <c r="G6" i="15"/>
  <c r="H6" i="15" s="1"/>
  <c r="P6" i="15" s="1"/>
  <c r="Q6" i="15" s="1"/>
  <c r="Q12" i="15" l="1"/>
  <c r="Q13" i="15" l="1"/>
  <c r="R6" i="15" s="1"/>
  <c r="R7" i="15" l="1"/>
  <c r="Q15" i="15"/>
  <c r="F7" i="21" s="1"/>
  <c r="Q14" i="15"/>
  <c r="F6" i="21" s="1"/>
  <c r="R8" i="15"/>
  <c r="R4" i="15"/>
  <c r="R5" i="15"/>
  <c r="R9" i="15"/>
  <c r="Q17" i="15" l="1"/>
  <c r="Q19" i="15"/>
  <c r="Q20" i="15" l="1"/>
  <c r="Q21" i="15" s="1"/>
  <c r="F5" i="21"/>
  <c r="W11" i="12"/>
  <c r="I10" i="12" s="1"/>
  <c r="R10" i="12" s="1"/>
  <c r="R12" i="12" s="1"/>
  <c r="W22" i="12" s="1"/>
  <c r="W24" i="12" s="1"/>
  <c r="W31" i="12" s="1"/>
  <c r="F13" i="21"/>
  <c r="J13" i="21" s="1"/>
  <c r="F17" i="21"/>
  <c r="F18" i="21" s="1"/>
  <c r="Q22" i="15" l="1"/>
  <c r="Q23" i="15" s="1"/>
  <c r="F12" i="21" s="1"/>
  <c r="F19" i="21"/>
  <c r="F31" i="21" s="1"/>
  <c r="F33" i="21" s="1"/>
  <c r="F10" i="22"/>
  <c r="F11" i="22" s="1"/>
  <c r="Q34" i="12"/>
  <c r="Y34" i="12"/>
  <c r="Q24" i="15" l="1"/>
  <c r="F10" i="21" s="1"/>
</calcChain>
</file>

<file path=xl/comments1.xml><?xml version="1.0" encoding="utf-8"?>
<comments xmlns="http://schemas.openxmlformats.org/spreadsheetml/2006/main">
  <authors>
    <author>valec</author>
  </authors>
  <commentList>
    <comment ref="P5" authorId="0" shapeId="0">
      <text>
        <r>
          <rPr>
            <b/>
            <sz val="8"/>
            <color indexed="81"/>
            <rFont val="Tahoma"/>
            <family val="2"/>
          </rPr>
          <t>valec:</t>
        </r>
        <r>
          <rPr>
            <sz val="8"/>
            <color indexed="81"/>
            <rFont val="Tahoma"/>
            <family val="2"/>
          </rPr>
          <t xml:space="preserve">
SENHA DE PROTEÇÃO: 1234</t>
        </r>
      </text>
    </comment>
  </commentList>
</comments>
</file>

<file path=xl/comments2.xml><?xml version="1.0" encoding="utf-8"?>
<comments xmlns="http://schemas.openxmlformats.org/spreadsheetml/2006/main">
  <authors>
    <author>valec</author>
  </authors>
  <commentList>
    <comment ref="D5" authorId="0" shapeId="0">
      <text>
        <r>
          <rPr>
            <b/>
            <sz val="8"/>
            <color indexed="81"/>
            <rFont val="Tahoma"/>
            <family val="2"/>
          </rPr>
          <t>valec:</t>
        </r>
        <r>
          <rPr>
            <sz val="8"/>
            <color indexed="81"/>
            <rFont val="Tahoma"/>
            <family val="2"/>
          </rPr>
          <t xml:space="preserve">
SENHA DE PROTEÇÃO: 1234</t>
        </r>
      </text>
    </comment>
  </commentList>
</comments>
</file>

<file path=xl/sharedStrings.xml><?xml version="1.0" encoding="utf-8"?>
<sst xmlns="http://schemas.openxmlformats.org/spreadsheetml/2006/main" count="528" uniqueCount="296">
  <si>
    <t>UNID.</t>
  </si>
  <si>
    <t>QUANT.</t>
  </si>
  <si>
    <t>IDADE (B)</t>
  </si>
  <si>
    <t>QUANTIDADE (D)</t>
  </si>
  <si>
    <t>UNIDADE (E)</t>
  </si>
  <si>
    <r>
      <rPr>
        <b/>
        <sz val="14"/>
        <rFont val="Arial"/>
        <family val="2"/>
      </rPr>
      <t xml:space="preserve">  LAUDO DE AVALIAÇÃO </t>
    </r>
    <r>
      <rPr>
        <b/>
        <sz val="14"/>
        <color indexed="10"/>
        <rFont val="Arial"/>
        <family val="2"/>
      </rPr>
      <t xml:space="preserve"> </t>
    </r>
  </si>
  <si>
    <t>DISCRIMINAÇÃO (A)</t>
  </si>
  <si>
    <t>ESTADO FITOSSANITÁRIO (C)</t>
  </si>
  <si>
    <t>VALORES  EM  REAIS</t>
  </si>
  <si>
    <t>UNITÁRIO</t>
  </si>
  <si>
    <t>TOTAL</t>
  </si>
  <si>
    <t>UNIDADE ©</t>
  </si>
  <si>
    <t>DISCRIMINAÇÃO</t>
  </si>
  <si>
    <t>VALOR EM R$ REAIS</t>
  </si>
  <si>
    <t>=</t>
  </si>
  <si>
    <t>R$</t>
  </si>
  <si>
    <t>x</t>
  </si>
  <si>
    <t xml:space="preserve">Valor homogeneizado / ha </t>
  </si>
  <si>
    <t>Avaliação Intervalar:</t>
  </si>
  <si>
    <t xml:space="preserve">Estimativa de tendênia Central obtido </t>
  </si>
  <si>
    <t>em planilha de Homogeneização.</t>
  </si>
  <si>
    <t>Outras áreas:</t>
  </si>
  <si>
    <t>Elemento</t>
  </si>
  <si>
    <t>Municipio</t>
  </si>
  <si>
    <t>Imóvel</t>
  </si>
  <si>
    <t>CCU do Elemento</t>
  </si>
  <si>
    <t>Situação Elemento</t>
  </si>
  <si>
    <t>Situação Indexado²</t>
  </si>
  <si>
    <t>Hidrografia Elemento</t>
  </si>
  <si>
    <t>Fator Oferta Elemento</t>
  </si>
  <si>
    <t>Amostra Saneada</t>
  </si>
  <si>
    <t>CCU Indexado¹</t>
  </si>
  <si>
    <t>obtido da seguinte forma = (CCU imóvel Avaliando - CCU elmento da amostra) + 1</t>
  </si>
  <si>
    <t xml:space="preserve">Média </t>
  </si>
  <si>
    <t>Situação Indexado ²</t>
  </si>
  <si>
    <t>obtido da seguinte forma = (Situação imóvel Avaliando - Situação elmento da amostra) + 1</t>
  </si>
  <si>
    <t>Desvio Padrão</t>
  </si>
  <si>
    <t>obtido da seguinte forma = (Distância imóvel Avaliando - Distância elmento da amostra) + 1</t>
  </si>
  <si>
    <t>Limite Superior</t>
  </si>
  <si>
    <t>obtido da seguinte forma = (Hidrografia imóvel Avaliando - Hidrografia elmento da amostra) + 1</t>
  </si>
  <si>
    <t>Limite Inferior</t>
  </si>
  <si>
    <t xml:space="preserve">Obtido pela multiplicação do CCU Indexado, da Situação Indexado, Distância Indexado, Hidrografia Indexado e Fator Oferta </t>
  </si>
  <si>
    <t>Média após Saneamento</t>
  </si>
  <si>
    <t>Desvio Padrão Saneado</t>
  </si>
  <si>
    <t>Fator para I.C.</t>
  </si>
  <si>
    <t>Média de Valor calculado após eliminação dos elementos saneados</t>
  </si>
  <si>
    <t>I.C. Superior</t>
  </si>
  <si>
    <t>I.C. Inferior</t>
  </si>
  <si>
    <t>Média Saneada + Fator para I.C.</t>
  </si>
  <si>
    <t>Amplitude</t>
  </si>
  <si>
    <t>Média Saneada - Fator para I.C.</t>
  </si>
  <si>
    <t>Coeficiente de Variação</t>
  </si>
  <si>
    <t>I.C. Superior - I.C. Inferior</t>
  </si>
  <si>
    <t>Amplitude / Média Saneada</t>
  </si>
  <si>
    <t xml:space="preserve"> </t>
  </si>
  <si>
    <t>n =</t>
  </si>
  <si>
    <t>t =</t>
  </si>
  <si>
    <t>12 - BENFEITORIAS REPRODUTIVAS</t>
  </si>
  <si>
    <t>12.1 - CULTURAS PERMANENTES</t>
  </si>
  <si>
    <t>12.2 - CULTURAS TEMPORÁRIAS</t>
  </si>
  <si>
    <t xml:space="preserve">12.3 - PASTAGENS </t>
  </si>
  <si>
    <t>12.4 - EXTRATIVISMO</t>
  </si>
  <si>
    <t>DEPREC.</t>
  </si>
  <si>
    <t>13 - BENFEITORIAS NÃO REPRODUTIVAS</t>
  </si>
  <si>
    <t>Limite Inferior (estimativa -10%)</t>
  </si>
  <si>
    <t>Limite Superior (estimativa +10%)</t>
  </si>
  <si>
    <t>014 - OBSERVAÇÕES DO AVALIADOR  CÁLCULO  DA TERRA NUA</t>
  </si>
  <si>
    <t>015 - RESUMO DOS VALORES</t>
  </si>
  <si>
    <t>Data:</t>
  </si>
  <si>
    <t>Área Total Do Imóvel (ha)</t>
  </si>
  <si>
    <t>Bom</t>
  </si>
  <si>
    <t>Coeficiente de Variação %</t>
  </si>
  <si>
    <t>DEPRECIAÇÃO</t>
  </si>
  <si>
    <t>Avaliando</t>
  </si>
  <si>
    <t>Imóvel 2</t>
  </si>
  <si>
    <t>Imóvel 4</t>
  </si>
  <si>
    <t>Imóvel 5</t>
  </si>
  <si>
    <t>Imóvel 1</t>
  </si>
  <si>
    <t>Imóvel 3</t>
  </si>
  <si>
    <t>Área avaliada (ha)</t>
  </si>
  <si>
    <t>Especificar Área (ha)</t>
  </si>
  <si>
    <t>15.1 - ÁREA AVALIADA.................................................................................................................</t>
  </si>
  <si>
    <t>15.2 - OUTRAS ÁREAS - ESPECIFICAR...................................................................................................................................</t>
  </si>
  <si>
    <t>15.3 - SUB-TOTAL (01)...................................................................................................................................</t>
  </si>
  <si>
    <t>15.4 - QUADRO 12.1 - CULTURAS PERMANENTES.........................................................................................</t>
  </si>
  <si>
    <t>15.5 - QUADRO 12.2 - CULTURAS TEMPORÁRIAS............................................................................................................................</t>
  </si>
  <si>
    <t>15.6 - QUADRO 12.3 - PASTAGENS ARTIFICIAIS..................................................................................................................................</t>
  </si>
  <si>
    <t>15.7 - QUADRO 12.4 - EXTRATIVISMO..................................................................................................................................</t>
  </si>
  <si>
    <t>15.8 - QUADRO 13 - BENFEITORIAS NÃO REPRODUTIVAS..........................................................................................................</t>
  </si>
  <si>
    <t>15.9 - SUB-TOTAL (02)..................................................................................................................................</t>
  </si>
  <si>
    <t>15.10 - TOTAL (1+2)................................................................................................................................................................</t>
  </si>
  <si>
    <t>15.11 - MÊS BASE DA AVALIAÇÃO</t>
  </si>
  <si>
    <r>
      <rPr>
        <sz val="10"/>
        <rFont val="Arial"/>
        <family val="2"/>
      </rPr>
      <t xml:space="preserve">  LAUDO DE AVALIAÇÃO </t>
    </r>
    <r>
      <rPr>
        <sz val="10"/>
        <rFont val="Arial"/>
        <family val="2"/>
      </rPr>
      <t xml:space="preserve"> </t>
    </r>
  </si>
  <si>
    <t>AVALIANDA</t>
  </si>
  <si>
    <t>area de pastagem andropólgon</t>
  </si>
  <si>
    <t>Benfeitorias</t>
  </si>
  <si>
    <t>Benfeitorias Indexado³</t>
  </si>
  <si>
    <t xml:space="preserve">Valor do Imóvel R$ </t>
  </si>
  <si>
    <t>Valor por hectare (R$/ha)</t>
  </si>
  <si>
    <t>Resultado da multiplicação do VT / ha do elementdo da amostra pelo seu FHT</t>
  </si>
  <si>
    <t>Limite superior de valor de VT/ha homogeneizado</t>
  </si>
  <si>
    <t>Limite Inferior de valor de VT/ha homogeneizado</t>
  </si>
  <si>
    <t>Elemento que apresente seu VT/ ha homogeneizado maior que o limite superior ou menor que o limite inferior</t>
  </si>
  <si>
    <t>Imóvel 6</t>
  </si>
  <si>
    <t>Proponente:</t>
  </si>
  <si>
    <t>Processo:</t>
  </si>
  <si>
    <t>Agência Solicitante:</t>
  </si>
  <si>
    <t>Objetivo:</t>
  </si>
  <si>
    <t>Objeto:</t>
  </si>
  <si>
    <t>Local e Data:</t>
  </si>
  <si>
    <t>QUADRO RESUMO DA AVALIAÇÃO</t>
  </si>
  <si>
    <t>Identificação:</t>
  </si>
  <si>
    <t>Município:</t>
  </si>
  <si>
    <t>IMÓVEL</t>
  </si>
  <si>
    <t>Nº Matrícula</t>
  </si>
  <si>
    <t>Identificação</t>
  </si>
  <si>
    <t>Área Superficial há</t>
  </si>
  <si>
    <t>Área Construída m²</t>
  </si>
  <si>
    <t>CROQUI</t>
  </si>
  <si>
    <t>VALORES</t>
  </si>
  <si>
    <t>MATRÍCULA</t>
  </si>
  <si>
    <t>MERCADO R$</t>
  </si>
  <si>
    <t>LIQUIDAÇÃO FORÇADA R$</t>
  </si>
  <si>
    <t>OBSERVAÇÕES</t>
  </si>
  <si>
    <t>TOPOGRAFIA</t>
  </si>
  <si>
    <t>Fatores</t>
  </si>
  <si>
    <t>2 a 5% (SUAVE ONDULADO)</t>
  </si>
  <si>
    <t>5 a 10 (MODERADAMENTE ONDULADO)</t>
  </si>
  <si>
    <t>10 a 15% (ONDULADO)</t>
  </si>
  <si>
    <t>15 a 45% (FORTE ONDULADO)</t>
  </si>
  <si>
    <t>45 a 70% (MONTANHOSO)</t>
  </si>
  <si>
    <t>&gt; 70% (ESCARPADO)</t>
  </si>
  <si>
    <t>FONTE: ARANTES (2017)</t>
  </si>
  <si>
    <t>HIDROGRAFIA</t>
  </si>
  <si>
    <t>1,30 a 1,50 - (MUITO BOM)</t>
  </si>
  <si>
    <t>1,15 a 1,29 - (BOM)</t>
  </si>
  <si>
    <t>1,01 a 1,14 - (NORMAL)</t>
  </si>
  <si>
    <t>1,00 - (REGULAR)</t>
  </si>
  <si>
    <t>0,80 a 0,99 - (RUIM)</t>
  </si>
  <si>
    <t>0,50 a 0,79 - (MUITO RUIM)</t>
  </si>
  <si>
    <t>FONTE: DESLANDES, CRISTIANO AUGUSTO - AVALIAÇÃO DE IMÓVEIS RURAIS (2002).</t>
  </si>
  <si>
    <t>FONTE: GLOSSÁRIO INTERNACIONAL DE HIDROLOGIA (UNESCO).</t>
  </si>
  <si>
    <t>BENFEITORIAS</t>
  </si>
  <si>
    <t>MUITO ACIMA DA MÉDIA</t>
  </si>
  <si>
    <t>ACIMA DA MÉDIA</t>
  </si>
  <si>
    <t>MÉDIA</t>
  </si>
  <si>
    <t>ABAIXO DA MÉDIA</t>
  </si>
  <si>
    <t>MUITO ABAIXO DA MÉDIA</t>
  </si>
  <si>
    <t>SEM BENFEITORIA</t>
  </si>
  <si>
    <t>0 a 2% (PLANO)</t>
  </si>
  <si>
    <r>
      <t xml:space="preserve">CCU Indexado </t>
    </r>
    <r>
      <rPr>
        <vertAlign val="superscript"/>
        <sz val="11.5"/>
        <color indexed="8"/>
        <rFont val="Calibri"/>
        <family val="2"/>
        <scheme val="minor"/>
      </rPr>
      <t>1</t>
    </r>
  </si>
  <si>
    <r>
      <t xml:space="preserve">Hidrografia Indexado </t>
    </r>
    <r>
      <rPr>
        <vertAlign val="superscript"/>
        <sz val="10"/>
        <color indexed="8"/>
        <rFont val="Calibri"/>
        <family val="2"/>
        <scheme val="minor"/>
      </rPr>
      <t>4</t>
    </r>
  </si>
  <si>
    <r>
      <t xml:space="preserve">Fator Homogeneização Total (FHT) </t>
    </r>
    <r>
      <rPr>
        <vertAlign val="superscript"/>
        <sz val="11.5"/>
        <color indexed="8"/>
        <rFont val="Calibri"/>
        <family val="2"/>
        <scheme val="minor"/>
      </rPr>
      <t>6</t>
    </r>
  </si>
  <si>
    <r>
      <t xml:space="preserve">VT/ha homogeneizado </t>
    </r>
    <r>
      <rPr>
        <vertAlign val="superscript"/>
        <sz val="11.5"/>
        <color indexed="8"/>
        <rFont val="Calibri"/>
        <family val="2"/>
        <scheme val="minor"/>
      </rPr>
      <t>7</t>
    </r>
  </si>
  <si>
    <r>
      <t xml:space="preserve">Hidrografia Indexado </t>
    </r>
    <r>
      <rPr>
        <vertAlign val="superscript"/>
        <sz val="11.5"/>
        <color indexed="8"/>
        <rFont val="Calibri"/>
        <family val="2"/>
        <scheme val="minor"/>
      </rPr>
      <t>4</t>
    </r>
  </si>
  <si>
    <r>
      <t xml:space="preserve">= t*(Desvio padrão saneado/ </t>
    </r>
    <r>
      <rPr>
        <sz val="11.5"/>
        <color indexed="8"/>
        <rFont val="Calibri"/>
        <family val="2"/>
        <scheme val="minor"/>
      </rPr>
      <t>√ do numero de elementos utilizado), onde "t" é percentil da distribuição de Student, com grau de liberdade ( V = n-1) e 80% de confiança</t>
    </r>
  </si>
  <si>
    <t>AREA TOTAL</t>
  </si>
  <si>
    <t>AREA DE RESERVA</t>
  </si>
  <si>
    <t>AREA DE APP</t>
  </si>
  <si>
    <t>ÁREA CONSTRUÍDA</t>
  </si>
  <si>
    <t>CERTIFICADO DE CADASTRO DE IMÓVEL RURAL - CCIR</t>
  </si>
  <si>
    <t>CADASTRO AMBIENTAL RURAL - CAR</t>
  </si>
  <si>
    <t>USO DA TERRA</t>
  </si>
  <si>
    <t>ÁREA (ha)</t>
  </si>
  <si>
    <t>SOMATÓRIA</t>
  </si>
  <si>
    <t>% ÁREA</t>
  </si>
  <si>
    <t>SITUAÇÃO</t>
  </si>
  <si>
    <t>CONDIÇÃO</t>
  </si>
  <si>
    <t>Proprietário / Informante:</t>
  </si>
  <si>
    <t>Contato:</t>
  </si>
  <si>
    <t>Localização do Imóvel:</t>
  </si>
  <si>
    <t>Situação:</t>
  </si>
  <si>
    <t>Boa</t>
  </si>
  <si>
    <t>Área do Imóvel (ha):</t>
  </si>
  <si>
    <t>Benfeitoria:</t>
  </si>
  <si>
    <t>Valor venal:</t>
  </si>
  <si>
    <t>Valor R$/ha:</t>
  </si>
  <si>
    <t>Negociação:</t>
  </si>
  <si>
    <t>Oferta</t>
  </si>
  <si>
    <t>Hidrografia:</t>
  </si>
  <si>
    <t>Outros:</t>
  </si>
  <si>
    <t>Nota Agronômica da Amostra</t>
  </si>
  <si>
    <t>Classe de Solo</t>
  </si>
  <si>
    <t>Área (ha)</t>
  </si>
  <si>
    <t>% do Imóvel</t>
  </si>
  <si>
    <t>Nota Agronômica</t>
  </si>
  <si>
    <t>VIII</t>
  </si>
  <si>
    <t>Dado Amostral 01</t>
  </si>
  <si>
    <t>Dado Amostral 02</t>
  </si>
  <si>
    <t>Dado Amostral 03</t>
  </si>
  <si>
    <t>Dado Amostral 04</t>
  </si>
  <si>
    <t>Dado Amostral 05</t>
  </si>
  <si>
    <t>Dado Amostral 06</t>
  </si>
  <si>
    <t>Média</t>
  </si>
  <si>
    <t>ELEMENTO</t>
  </si>
  <si>
    <t xml:space="preserve">CLASSE </t>
  </si>
  <si>
    <t>FONTE</t>
  </si>
  <si>
    <t>INFORMANTE</t>
  </si>
  <si>
    <t>CONTATO</t>
  </si>
  <si>
    <t>VT (R$)</t>
  </si>
  <si>
    <t>VT(R$/ha)</t>
  </si>
  <si>
    <t>Limite Superior (R$/ha)</t>
  </si>
  <si>
    <t>Limite Inferior (R$/ha)</t>
  </si>
  <si>
    <t>Elementos Saneados</t>
  </si>
  <si>
    <t>Elementos Expurgados</t>
  </si>
  <si>
    <t xml:space="preserve">T. Student </t>
  </si>
  <si>
    <t xml:space="preserve">Valor médio apurado (R$/ha) </t>
  </si>
  <si>
    <t>Área total do imóvel avaliando</t>
  </si>
  <si>
    <t>Valor do hectare (R$/ha)</t>
  </si>
  <si>
    <t>Valor total de terra nua</t>
  </si>
  <si>
    <t>Valor adotado</t>
  </si>
  <si>
    <t>VALOR DE BENFEITORIAS - PIVÔ CENTRAL + hidraulico</t>
  </si>
  <si>
    <t>Custo de de Formação (novo)</t>
  </si>
  <si>
    <t>Depreciação: Adequada/bom</t>
  </si>
  <si>
    <t>Valor depreciado</t>
  </si>
  <si>
    <t>VALOR TOTAL DE TERRA NUA + BENFEITORIAS</t>
  </si>
  <si>
    <t>Valor Total de Terra Nua</t>
  </si>
  <si>
    <t xml:space="preserve">Valor do Pivô </t>
  </si>
  <si>
    <t>Valor Total</t>
  </si>
  <si>
    <t>CÁLCULO DE VALOR DE LIQUIDAÇÃO FORÇADA</t>
  </si>
  <si>
    <t>i - Taxa de Desconto</t>
  </si>
  <si>
    <t>n - Número de meses</t>
  </si>
  <si>
    <t>Coeficiente Calculado</t>
  </si>
  <si>
    <t>Valor de Mercado</t>
  </si>
  <si>
    <t>Valor de Liquidação Forçada</t>
  </si>
  <si>
    <t>PREENCHER MANUAL</t>
  </si>
  <si>
    <t>Área De Reserva Legal e APP</t>
  </si>
  <si>
    <t>Matrícula:</t>
  </si>
  <si>
    <t>IV</t>
  </si>
  <si>
    <t>-</t>
  </si>
  <si>
    <t>CLASSIFICAÇÃO FUNDIÁRIA</t>
  </si>
  <si>
    <t>MÓDULO FISCAL</t>
  </si>
  <si>
    <t>Nº DE MÓDULOS FISCAIS</t>
  </si>
  <si>
    <t>Ativo</t>
  </si>
  <si>
    <t>Normal</t>
  </si>
  <si>
    <t xml:space="preserve">SANEAMENTO DAS AMOSTRAS </t>
  </si>
  <si>
    <t xml:space="preserve">VALOR DE TERRA NUA APURADO </t>
  </si>
  <si>
    <t>ÁREA CONSOLIDADA</t>
  </si>
  <si>
    <t>Aguardando análise</t>
  </si>
  <si>
    <t xml:space="preserve">Proprietário(s): </t>
  </si>
  <si>
    <t xml:space="preserve">Boa </t>
  </si>
  <si>
    <t>Regular</t>
  </si>
  <si>
    <t xml:space="preserve">Pequena Propriedade Produtiva </t>
  </si>
  <si>
    <t xml:space="preserve">Normal </t>
  </si>
  <si>
    <t xml:space="preserve">Regular </t>
  </si>
  <si>
    <t>LAUDO DE AVALIAÇÃO Nº 898992</t>
  </si>
  <si>
    <t>Sivalto Pimental de Morais</t>
  </si>
  <si>
    <t>14 - Porto Nacional</t>
  </si>
  <si>
    <t>Valor de mercado e de liquidação forçada para fins de garantia bancária</t>
  </si>
  <si>
    <t>Lote n° 34 - G, loteamneto Mangues Gleba 1</t>
  </si>
  <si>
    <t>Palmas - TO, 10 de novembro de 2023</t>
  </si>
  <si>
    <t>Sivalto Pimentel De Morais</t>
  </si>
  <si>
    <t>14 – Agência Porto Nacional</t>
  </si>
  <si>
    <t>Lote n° 34 - G, Loteamento Mangues Gleba 1</t>
  </si>
  <si>
    <t>Porto Nacional</t>
  </si>
  <si>
    <t>Fazenda</t>
  </si>
  <si>
    <t>Área de Uso</t>
  </si>
  <si>
    <t>Situação</t>
  </si>
  <si>
    <t>CARACTERÍSTICA</t>
  </si>
  <si>
    <t>Tipo de Estrada</t>
  </si>
  <si>
    <t>Trafegabilidade</t>
  </si>
  <si>
    <t>Ótima</t>
  </si>
  <si>
    <t>Pavimentada com asfalto/concreto</t>
  </si>
  <si>
    <t>Permanente</t>
  </si>
  <si>
    <t>Muito Boa</t>
  </si>
  <si>
    <t>Pavimentada com cascalhamento/intertravado</t>
  </si>
  <si>
    <t>Não Pavimentada</t>
  </si>
  <si>
    <t>Desfavorável</t>
  </si>
  <si>
    <t>Não Pavimentada e Servidões de Passagem</t>
  </si>
  <si>
    <t>Problemas sérios nas Estações chuvosas</t>
  </si>
  <si>
    <t>Má</t>
  </si>
  <si>
    <t>Servidões com a presença de fechos</t>
  </si>
  <si>
    <t>Péssima</t>
  </si>
  <si>
    <t>Fechos e interceptados por córregos sem pontes</t>
  </si>
  <si>
    <t>Problemas sérios mesmo nas secas</t>
  </si>
  <si>
    <t>(63) 99968-05-68</t>
  </si>
  <si>
    <t xml:space="preserve">Renato Borges Azevedo </t>
  </si>
  <si>
    <t>(63) 99217-9003</t>
  </si>
  <si>
    <t>Juarina - TO</t>
  </si>
  <si>
    <t>https://to.olx.com.br/tocantins/terrenos/fazenda-na-regiao-de-juarina-to-1015923530?lis=listing_1100</t>
  </si>
  <si>
    <t>Ruraliza Negócios</t>
  </si>
  <si>
    <t>(63) 99252-2282</t>
  </si>
  <si>
    <t>https://to.olx.com.br/tocantins/terrenos/fazenda--na-regiao-de-juarina-to-1088250640?lis=listing_1100</t>
  </si>
  <si>
    <t>https://to.olx.com.br/tocantins/terrenos/fazenda-municipio-de-couto-magalhaes-tocantins-area-406-alqueires-1073165142?lis=listing_1100</t>
  </si>
  <si>
    <t>MSC</t>
  </si>
  <si>
    <t>(62) 99432-5672</t>
  </si>
  <si>
    <t>Couto Magalhães - TO</t>
  </si>
  <si>
    <t>https://to.olx.com.br/tocantins/terrenos/fazenda-a-venda-1-679-48-ha-por-r-27-760-000-couto-de-magalhaes-to-1137913668?lis=listing_1100</t>
  </si>
  <si>
    <t>https://to.olx.com.br/tocantins/terrenos/fazenda-de-200-alqueires-980-hectares-em-pequizeiro-to-1192821705?lis=listing_1100</t>
  </si>
  <si>
    <t>Mil Fazendas</t>
  </si>
  <si>
    <t>(62) 3626-1000</t>
  </si>
  <si>
    <t>Pequizeiro - TO</t>
  </si>
  <si>
    <t>https://www.imovelweb.com.br/propriedades/fazenda-pecuaria-em-piquizeiro-to-2970591501.html</t>
  </si>
  <si>
    <t>(38) 99821-6261</t>
  </si>
  <si>
    <t>José Geraldo Vieira</t>
  </si>
  <si>
    <t>MATRÍCULA 11.173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</si>
</sst>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8" formatCode="&quot;R$&quot;\ #,##0.00;[Red]\-&quot;R$&quot;\ #,##0.00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#,##0.0000"/>
    <numFmt numFmtId="167" formatCode="0.0000"/>
    <numFmt numFmtId="168" formatCode="_(* #,##0.000_);_(* \(#,##0.000\);_(* &quot;-&quot;???_);_(@_)"/>
    <numFmt numFmtId="169" formatCode="_(* #,##0.000_);_(* \(#,##0.000\);_(* &quot;-&quot;??_);_(@_)"/>
    <numFmt numFmtId="170" formatCode="&quot;R$&quot;\ #,##0.00"/>
    <numFmt numFmtId="171" formatCode="0.0"/>
    <numFmt numFmtId="172" formatCode="0.000%"/>
    <numFmt numFmtId="173" formatCode="0.000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8"/>
      <name val="Lydian BT"/>
      <family val="4"/>
    </font>
    <font>
      <sz val="10"/>
      <name val="Lydian BT"/>
      <family val="4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.5"/>
      <name val="Calibri"/>
      <family val="2"/>
      <scheme val="minor"/>
    </font>
    <font>
      <vertAlign val="superscript"/>
      <sz val="11.5"/>
      <color indexed="8"/>
      <name val="Calibri"/>
      <family val="2"/>
      <scheme val="minor"/>
    </font>
    <font>
      <vertAlign val="superscript"/>
      <sz val="10"/>
      <color indexed="8"/>
      <name val="Calibri"/>
      <family val="2"/>
      <scheme val="minor"/>
    </font>
    <font>
      <sz val="11.5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name val="Arial"/>
      <family val="2"/>
    </font>
    <font>
      <u/>
      <sz val="10"/>
      <color theme="10"/>
      <name val="Arial"/>
    </font>
    <font>
      <sz val="11"/>
      <color theme="3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62" fillId="0" borderId="0" applyNumberFormat="0" applyFill="0" applyBorder="0" applyAlignment="0" applyProtection="0"/>
  </cellStyleXfs>
  <cellXfs count="485">
    <xf numFmtId="0" fontId="0" fillId="0" borderId="0" xfId="0"/>
    <xf numFmtId="0" fontId="17" fillId="3" borderId="0" xfId="0" applyFont="1" applyFill="1"/>
    <xf numFmtId="0" fontId="25" fillId="3" borderId="0" xfId="0" applyFont="1" applyFill="1"/>
    <xf numFmtId="0" fontId="25" fillId="3" borderId="1" xfId="0" applyFont="1" applyFill="1" applyBorder="1"/>
    <xf numFmtId="0" fontId="25" fillId="3" borderId="2" xfId="0" applyFont="1" applyFill="1" applyBorder="1"/>
    <xf numFmtId="0" fontId="25" fillId="3" borderId="0" xfId="0" applyFont="1" applyFill="1" applyAlignment="1">
      <alignment horizontal="center"/>
    </xf>
    <xf numFmtId="0" fontId="22" fillId="3" borderId="1" xfId="0" applyFont="1" applyFill="1" applyBorder="1"/>
    <xf numFmtId="0" fontId="18" fillId="3" borderId="0" xfId="0" applyFont="1" applyFill="1" applyAlignment="1">
      <alignment horizontal="center"/>
    </xf>
    <xf numFmtId="0" fontId="18" fillId="3" borderId="0" xfId="0" applyFont="1" applyFill="1" applyAlignment="1">
      <alignment horizontal="left"/>
    </xf>
    <xf numFmtId="0" fontId="24" fillId="3" borderId="2" xfId="0" applyFont="1" applyFill="1" applyBorder="1"/>
    <xf numFmtId="0" fontId="19" fillId="3" borderId="0" xfId="0" applyFont="1" applyFill="1"/>
    <xf numFmtId="0" fontId="25" fillId="3" borderId="3" xfId="0" applyFont="1" applyFill="1" applyBorder="1" applyAlignment="1" applyProtection="1">
      <alignment horizontal="center"/>
      <protection locked="0"/>
    </xf>
    <xf numFmtId="4" fontId="25" fillId="3" borderId="3" xfId="0" applyNumberFormat="1" applyFont="1" applyFill="1" applyBorder="1" applyProtection="1">
      <protection locked="0"/>
    </xf>
    <xf numFmtId="0" fontId="25" fillId="3" borderId="4" xfId="0" applyFont="1" applyFill="1" applyBorder="1" applyAlignment="1" applyProtection="1">
      <alignment horizontal="left"/>
      <protection locked="0"/>
    </xf>
    <xf numFmtId="4" fontId="25" fillId="3" borderId="5" xfId="0" applyNumberFormat="1" applyFont="1" applyFill="1" applyBorder="1" applyProtection="1">
      <protection locked="0"/>
    </xf>
    <xf numFmtId="0" fontId="25" fillId="3" borderId="5" xfId="0" applyFont="1" applyFill="1" applyBorder="1" applyAlignment="1" applyProtection="1">
      <alignment horizontal="center"/>
      <protection locked="0"/>
    </xf>
    <xf numFmtId="0" fontId="24" fillId="3" borderId="1" xfId="0" applyFont="1" applyFill="1" applyBorder="1"/>
    <xf numFmtId="0" fontId="25" fillId="3" borderId="6" xfId="0" applyFont="1" applyFill="1" applyBorder="1" applyAlignment="1" applyProtection="1">
      <alignment horizontal="left"/>
      <protection locked="0"/>
    </xf>
    <xf numFmtId="165" fontId="25" fillId="3" borderId="7" xfId="0" applyNumberFormat="1" applyFont="1" applyFill="1" applyBorder="1" applyAlignment="1" applyProtection="1">
      <alignment horizontal="center"/>
      <protection locked="0"/>
    </xf>
    <xf numFmtId="0" fontId="25" fillId="3" borderId="7" xfId="0" applyFont="1" applyFill="1" applyBorder="1" applyProtection="1">
      <protection locked="0"/>
    </xf>
    <xf numFmtId="4" fontId="25" fillId="3" borderId="7" xfId="0" applyNumberFormat="1" applyFont="1" applyFill="1" applyBorder="1" applyProtection="1">
      <protection locked="0"/>
    </xf>
    <xf numFmtId="165" fontId="25" fillId="3" borderId="5" xfId="0" applyNumberFormat="1" applyFont="1" applyFill="1" applyBorder="1" applyAlignment="1" applyProtection="1">
      <alignment horizontal="center"/>
      <protection locked="0"/>
    </xf>
    <xf numFmtId="0" fontId="27" fillId="3" borderId="8" xfId="0" applyFont="1" applyFill="1" applyBorder="1" applyAlignment="1">
      <alignment horizontal="center" vertical="center"/>
    </xf>
    <xf numFmtId="0" fontId="25" fillId="3" borderId="9" xfId="0" applyFont="1" applyFill="1" applyBorder="1" applyAlignment="1" applyProtection="1">
      <alignment horizontal="left"/>
      <protection locked="0"/>
    </xf>
    <xf numFmtId="4" fontId="25" fillId="3" borderId="10" xfId="0" applyNumberFormat="1" applyFont="1" applyFill="1" applyBorder="1" applyAlignment="1" applyProtection="1">
      <alignment horizontal="center"/>
      <protection locked="0"/>
    </xf>
    <xf numFmtId="0" fontId="25" fillId="3" borderId="10" xfId="0" applyFont="1" applyFill="1" applyBorder="1" applyProtection="1">
      <protection locked="0"/>
    </xf>
    <xf numFmtId="4" fontId="25" fillId="3" borderId="10" xfId="0" applyNumberFormat="1" applyFont="1" applyFill="1" applyBorder="1" applyProtection="1">
      <protection locked="0"/>
    </xf>
    <xf numFmtId="0" fontId="30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165" fontId="17" fillId="0" borderId="0" xfId="2" applyFont="1" applyBorder="1" applyAlignment="1" applyProtection="1">
      <alignment horizontal="right"/>
    </xf>
    <xf numFmtId="0" fontId="17" fillId="0" borderId="0" xfId="0" applyFont="1" applyProtection="1">
      <protection locked="0"/>
    </xf>
    <xf numFmtId="0" fontId="17" fillId="0" borderId="12" xfId="0" applyFont="1" applyBorder="1" applyAlignment="1" applyProtection="1">
      <alignment horizontal="center"/>
      <protection locked="0"/>
    </xf>
    <xf numFmtId="165" fontId="17" fillId="0" borderId="13" xfId="0" applyNumberFormat="1" applyFont="1" applyBorder="1" applyAlignment="1" applyProtection="1">
      <alignment horizontal="right"/>
      <protection locked="0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4" xfId="0" applyNumberFormat="1" applyFont="1" applyBorder="1" applyAlignment="1">
      <alignment horizontal="center" vertical="center"/>
    </xf>
    <xf numFmtId="165" fontId="18" fillId="0" borderId="11" xfId="2" applyFont="1" applyBorder="1" applyAlignment="1" applyProtection="1">
      <alignment horizontal="center" vertical="center"/>
    </xf>
    <xf numFmtId="0" fontId="31" fillId="0" borderId="0" xfId="0" applyFont="1" applyAlignment="1">
      <alignment vertical="center"/>
    </xf>
    <xf numFmtId="0" fontId="26" fillId="3" borderId="0" xfId="0" applyFont="1" applyFill="1"/>
    <xf numFmtId="0" fontId="21" fillId="3" borderId="0" xfId="0" applyFont="1" applyFill="1"/>
    <xf numFmtId="0" fontId="26" fillId="3" borderId="0" xfId="0" applyFont="1" applyFill="1" applyAlignment="1">
      <alignment vertical="top" wrapText="1"/>
    </xf>
    <xf numFmtId="0" fontId="23" fillId="3" borderId="16" xfId="0" applyFont="1" applyFill="1" applyBorder="1" applyAlignment="1" applyProtection="1">
      <alignment horizontal="left"/>
      <protection locked="0"/>
    </xf>
    <xf numFmtId="1" fontId="23" fillId="3" borderId="3" xfId="0" applyNumberFormat="1" applyFont="1" applyFill="1" applyBorder="1" applyAlignment="1" applyProtection="1">
      <alignment horizontal="center"/>
      <protection locked="0"/>
    </xf>
    <xf numFmtId="0" fontId="23" fillId="3" borderId="3" xfId="0" applyFont="1" applyFill="1" applyBorder="1" applyAlignment="1" applyProtection="1">
      <alignment horizontal="center"/>
      <protection locked="0"/>
    </xf>
    <xf numFmtId="0" fontId="27" fillId="3" borderId="17" xfId="0" applyFont="1" applyFill="1" applyBorder="1" applyAlignment="1">
      <alignment horizontal="center" vertical="center"/>
    </xf>
    <xf numFmtId="0" fontId="32" fillId="3" borderId="0" xfId="0" applyFont="1" applyFill="1"/>
    <xf numFmtId="165" fontId="32" fillId="3" borderId="0" xfId="2" applyFont="1" applyFill="1" applyBorder="1" applyAlignment="1" applyProtection="1"/>
    <xf numFmtId="0" fontId="25" fillId="3" borderId="24" xfId="0" applyFont="1" applyFill="1" applyBorder="1"/>
    <xf numFmtId="0" fontId="25" fillId="3" borderId="28" xfId="0" applyFont="1" applyFill="1" applyBorder="1" applyAlignment="1">
      <alignment horizontal="center"/>
    </xf>
    <xf numFmtId="0" fontId="21" fillId="3" borderId="21" xfId="0" applyFont="1" applyFill="1" applyBorder="1"/>
    <xf numFmtId="0" fontId="25" fillId="3" borderId="28" xfId="0" applyFont="1" applyFill="1" applyBorder="1"/>
    <xf numFmtId="0" fontId="24" fillId="3" borderId="21" xfId="0" applyFont="1" applyFill="1" applyBorder="1"/>
    <xf numFmtId="0" fontId="25" fillId="3" borderId="22" xfId="0" applyFont="1" applyFill="1" applyBorder="1"/>
    <xf numFmtId="0" fontId="27" fillId="3" borderId="27" xfId="0" applyFont="1" applyFill="1" applyBorder="1" applyAlignment="1">
      <alignment horizontal="center" vertical="center"/>
    </xf>
    <xf numFmtId="0" fontId="23" fillId="3" borderId="30" xfId="0" applyFont="1" applyFill="1" applyBorder="1" applyAlignment="1" applyProtection="1">
      <alignment horizontal="left"/>
      <protection locked="0"/>
    </xf>
    <xf numFmtId="165" fontId="25" fillId="3" borderId="31" xfId="2" applyFont="1" applyFill="1" applyBorder="1" applyAlignment="1" applyProtection="1">
      <alignment horizontal="right"/>
    </xf>
    <xf numFmtId="165" fontId="21" fillId="3" borderId="22" xfId="2" applyFont="1" applyFill="1" applyBorder="1" applyAlignment="1" applyProtection="1">
      <alignment horizontal="center"/>
    </xf>
    <xf numFmtId="0" fontId="24" fillId="3" borderId="23" xfId="0" applyFont="1" applyFill="1" applyBorder="1"/>
    <xf numFmtId="0" fontId="21" fillId="3" borderId="28" xfId="0" applyFont="1" applyFill="1" applyBorder="1"/>
    <xf numFmtId="0" fontId="25" fillId="3" borderId="32" xfId="0" applyFont="1" applyFill="1" applyBorder="1" applyAlignment="1" applyProtection="1">
      <alignment horizontal="left"/>
      <protection locked="0"/>
    </xf>
    <xf numFmtId="165" fontId="21" fillId="3" borderId="22" xfId="2" applyFont="1" applyFill="1" applyBorder="1" applyProtection="1"/>
    <xf numFmtId="165" fontId="21" fillId="3" borderId="29" xfId="2" applyFont="1" applyFill="1" applyBorder="1" applyAlignment="1" applyProtection="1">
      <alignment horizontal="center"/>
    </xf>
    <xf numFmtId="0" fontId="25" fillId="3" borderId="33" xfId="0" applyFont="1" applyFill="1" applyBorder="1" applyAlignment="1" applyProtection="1">
      <alignment horizontal="left"/>
      <protection locked="0"/>
    </xf>
    <xf numFmtId="165" fontId="21" fillId="3" borderId="34" xfId="0" applyNumberFormat="1" applyFont="1" applyFill="1" applyBorder="1"/>
    <xf numFmtId="0" fontId="34" fillId="3" borderId="0" xfId="0" applyFont="1" applyFill="1"/>
    <xf numFmtId="0" fontId="36" fillId="3" borderId="0" xfId="0" applyFont="1" applyFill="1"/>
    <xf numFmtId="0" fontId="35" fillId="3" borderId="0" xfId="0" applyFont="1" applyFill="1" applyAlignment="1">
      <alignment vertical="top" wrapText="1"/>
    </xf>
    <xf numFmtId="0" fontId="37" fillId="3" borderId="0" xfId="0" applyFont="1" applyFill="1"/>
    <xf numFmtId="0" fontId="38" fillId="3" borderId="0" xfId="0" applyFont="1" applyFill="1" applyAlignment="1">
      <alignment horizontal="center"/>
    </xf>
    <xf numFmtId="0" fontId="38" fillId="3" borderId="0" xfId="0" applyFont="1" applyFill="1" applyAlignment="1">
      <alignment horizontal="left"/>
    </xf>
    <xf numFmtId="0" fontId="34" fillId="3" borderId="2" xfId="0" applyFont="1" applyFill="1" applyBorder="1" applyAlignment="1">
      <alignment vertical="center"/>
    </xf>
    <xf numFmtId="39" fontId="34" fillId="3" borderId="0" xfId="2" applyNumberFormat="1" applyFont="1" applyFill="1" applyBorder="1" applyAlignment="1" applyProtection="1">
      <protection locked="0"/>
    </xf>
    <xf numFmtId="4" fontId="34" fillId="3" borderId="0" xfId="0" applyNumberFormat="1" applyFont="1" applyFill="1"/>
    <xf numFmtId="165" fontId="34" fillId="3" borderId="0" xfId="2" applyFont="1" applyFill="1" applyBorder="1" applyAlignment="1" applyProtection="1"/>
    <xf numFmtId="169" fontId="34" fillId="3" borderId="0" xfId="2" applyNumberFormat="1" applyFont="1" applyFill="1" applyBorder="1" applyAlignment="1" applyProtection="1"/>
    <xf numFmtId="39" fontId="34" fillId="3" borderId="0" xfId="1" applyNumberFormat="1" applyFont="1" applyFill="1" applyBorder="1" applyAlignment="1" applyProtection="1">
      <protection locked="0"/>
    </xf>
    <xf numFmtId="4" fontId="34" fillId="3" borderId="0" xfId="0" applyNumberFormat="1" applyFont="1" applyFill="1" applyProtection="1">
      <protection locked="0"/>
    </xf>
    <xf numFmtId="164" fontId="37" fillId="3" borderId="0" xfId="1" applyFont="1" applyFill="1" applyBorder="1" applyAlignment="1" applyProtection="1"/>
    <xf numFmtId="168" fontId="37" fillId="3" borderId="0" xfId="2" applyNumberFormat="1" applyFont="1" applyFill="1" applyBorder="1" applyAlignment="1" applyProtection="1"/>
    <xf numFmtId="0" fontId="37" fillId="3" borderId="0" xfId="0" applyFont="1" applyFill="1" applyAlignment="1">
      <alignment horizontal="center"/>
    </xf>
    <xf numFmtId="168" fontId="37" fillId="3" borderId="0" xfId="2" applyNumberFormat="1" applyFont="1" applyFill="1" applyBorder="1" applyAlignment="1" applyProtection="1">
      <alignment horizontal="center"/>
    </xf>
    <xf numFmtId="0" fontId="34" fillId="3" borderId="0" xfId="0" applyFont="1" applyFill="1" applyAlignment="1">
      <alignment horizontal="left"/>
    </xf>
    <xf numFmtId="165" fontId="34" fillId="3" borderId="0" xfId="2" applyFont="1" applyFill="1" applyProtection="1"/>
    <xf numFmtId="0" fontId="39" fillId="3" borderId="0" xfId="0" applyFont="1" applyFill="1"/>
    <xf numFmtId="0" fontId="40" fillId="3" borderId="0" xfId="0" applyFont="1" applyFill="1"/>
    <xf numFmtId="0" fontId="40" fillId="4" borderId="0" xfId="0" applyFont="1" applyFill="1"/>
    <xf numFmtId="165" fontId="39" fillId="3" borderId="0" xfId="2" applyFont="1" applyFill="1" applyProtection="1"/>
    <xf numFmtId="4" fontId="40" fillId="3" borderId="0" xfId="0" applyNumberFormat="1" applyFont="1" applyFill="1"/>
    <xf numFmtId="0" fontId="34" fillId="3" borderId="0" xfId="0" applyFont="1" applyFill="1" applyAlignment="1">
      <alignment vertical="center"/>
    </xf>
    <xf numFmtId="0" fontId="34" fillId="3" borderId="0" xfId="0" applyFont="1" applyFill="1" applyProtection="1">
      <protection locked="0"/>
    </xf>
    <xf numFmtId="0" fontId="34" fillId="3" borderId="0" xfId="0" applyFont="1" applyFill="1" applyAlignment="1" applyProtection="1">
      <alignment horizontal="left"/>
      <protection locked="0"/>
    </xf>
    <xf numFmtId="0" fontId="37" fillId="3" borderId="0" xfId="0" applyFont="1" applyFill="1" applyAlignment="1">
      <alignment vertical="center"/>
    </xf>
    <xf numFmtId="43" fontId="39" fillId="3" borderId="0" xfId="0" applyNumberFormat="1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49" fontId="34" fillId="3" borderId="0" xfId="0" applyNumberFormat="1" applyFont="1" applyFill="1"/>
    <xf numFmtId="0" fontId="33" fillId="3" borderId="0" xfId="0" applyFont="1" applyFill="1"/>
    <xf numFmtId="39" fontId="32" fillId="3" borderId="0" xfId="2" applyNumberFormat="1" applyFont="1" applyFill="1" applyBorder="1" applyAlignment="1" applyProtection="1">
      <protection locked="0"/>
    </xf>
    <xf numFmtId="4" fontId="32" fillId="3" borderId="0" xfId="0" applyNumberFormat="1" applyFont="1" applyFill="1"/>
    <xf numFmtId="169" fontId="32" fillId="3" borderId="0" xfId="2" applyNumberFormat="1" applyFont="1" applyFill="1" applyBorder="1" applyAlignment="1" applyProtection="1"/>
    <xf numFmtId="39" fontId="32" fillId="3" borderId="0" xfId="1" applyNumberFormat="1" applyFont="1" applyFill="1" applyBorder="1" applyAlignment="1" applyProtection="1">
      <protection locked="0"/>
    </xf>
    <xf numFmtId="4" fontId="32" fillId="3" borderId="0" xfId="0" applyNumberFormat="1" applyFont="1" applyFill="1" applyProtection="1">
      <protection locked="0"/>
    </xf>
    <xf numFmtId="0" fontId="23" fillId="3" borderId="39" xfId="0" applyFont="1" applyFill="1" applyBorder="1" applyAlignment="1" applyProtection="1">
      <alignment horizontal="left"/>
      <protection locked="0"/>
    </xf>
    <xf numFmtId="0" fontId="23" fillId="3" borderId="5" xfId="0" applyFont="1" applyFill="1" applyBorder="1" applyAlignment="1" applyProtection="1">
      <alignment horizontal="center"/>
      <protection locked="0"/>
    </xf>
    <xf numFmtId="0" fontId="45" fillId="3" borderId="19" xfId="0" applyFont="1" applyFill="1" applyBorder="1"/>
    <xf numFmtId="0" fontId="45" fillId="3" borderId="18" xfId="0" applyFont="1" applyFill="1" applyBorder="1"/>
    <xf numFmtId="0" fontId="45" fillId="3" borderId="17" xfId="0" applyFont="1" applyFill="1" applyBorder="1"/>
    <xf numFmtId="0" fontId="45" fillId="3" borderId="12" xfId="0" applyFont="1" applyFill="1" applyBorder="1"/>
    <xf numFmtId="0" fontId="45" fillId="3" borderId="1" xfId="0" applyFont="1" applyFill="1" applyBorder="1"/>
    <xf numFmtId="0" fontId="45" fillId="3" borderId="15" xfId="0" applyFont="1" applyFill="1" applyBorder="1"/>
    <xf numFmtId="0" fontId="44" fillId="3" borderId="0" xfId="0" applyFont="1" applyFill="1" applyAlignment="1">
      <alignment vertical="center"/>
    </xf>
    <xf numFmtId="0" fontId="46" fillId="3" borderId="1" xfId="0" applyFont="1" applyFill="1" applyBorder="1" applyAlignment="1">
      <alignment horizontal="right" vertical="center"/>
    </xf>
    <xf numFmtId="0" fontId="45" fillId="3" borderId="19" xfId="0" applyFont="1" applyFill="1" applyBorder="1" applyAlignment="1">
      <alignment vertical="center"/>
    </xf>
    <xf numFmtId="0" fontId="45" fillId="3" borderId="18" xfId="0" applyFont="1" applyFill="1" applyBorder="1" applyAlignment="1">
      <alignment vertical="center"/>
    </xf>
    <xf numFmtId="0" fontId="45" fillId="3" borderId="17" xfId="0" applyFont="1" applyFill="1" applyBorder="1" applyAlignment="1">
      <alignment vertical="center"/>
    </xf>
    <xf numFmtId="0" fontId="45" fillId="3" borderId="20" xfId="0" applyFont="1" applyFill="1" applyBorder="1" applyAlignment="1">
      <alignment vertical="center"/>
    </xf>
    <xf numFmtId="0" fontId="45" fillId="3" borderId="0" xfId="0" applyFont="1" applyFill="1" applyAlignment="1">
      <alignment vertical="center"/>
    </xf>
    <xf numFmtId="0" fontId="45" fillId="3" borderId="9" xfId="0" applyFont="1" applyFill="1" applyBorder="1" applyAlignment="1">
      <alignment vertical="center"/>
    </xf>
    <xf numFmtId="0" fontId="45" fillId="3" borderId="12" xfId="0" applyFont="1" applyFill="1" applyBorder="1" applyAlignment="1">
      <alignment vertical="center"/>
    </xf>
    <xf numFmtId="0" fontId="45" fillId="3" borderId="1" xfId="0" applyFont="1" applyFill="1" applyBorder="1" applyAlignment="1">
      <alignment vertical="center"/>
    </xf>
    <xf numFmtId="0" fontId="45" fillId="3" borderId="15" xfId="0" applyFont="1" applyFill="1" applyBorder="1" applyAlignment="1">
      <alignment vertical="center"/>
    </xf>
    <xf numFmtId="0" fontId="44" fillId="3" borderId="0" xfId="0" applyFont="1" applyFill="1"/>
    <xf numFmtId="171" fontId="41" fillId="0" borderId="8" xfId="0" applyNumberFormat="1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9" fillId="5" borderId="46" xfId="0" applyFont="1" applyFill="1" applyBorder="1" applyAlignment="1">
      <alignment horizontal="center" vertical="center" wrapText="1"/>
    </xf>
    <xf numFmtId="0" fontId="49" fillId="5" borderId="47" xfId="0" applyFont="1" applyFill="1" applyBorder="1" applyAlignment="1">
      <alignment horizontal="center" vertical="center" wrapText="1"/>
    </xf>
    <xf numFmtId="0" fontId="48" fillId="5" borderId="47" xfId="0" applyFont="1" applyFill="1" applyBorder="1" applyAlignment="1">
      <alignment horizontal="center" vertical="center" wrapText="1"/>
    </xf>
    <xf numFmtId="0" fontId="49" fillId="5" borderId="48" xfId="0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4" fontId="49" fillId="0" borderId="8" xfId="0" applyNumberFormat="1" applyFont="1" applyBorder="1" applyAlignment="1">
      <alignment horizontal="center" vertical="center" wrapText="1"/>
    </xf>
    <xf numFmtId="166" fontId="49" fillId="0" borderId="8" xfId="0" applyNumberFormat="1" applyFont="1" applyBorder="1" applyAlignment="1">
      <alignment horizontal="center" vertical="center" wrapText="1"/>
    </xf>
    <xf numFmtId="164" fontId="49" fillId="0" borderId="8" xfId="1" applyFont="1" applyBorder="1" applyAlignment="1">
      <alignment horizontal="center" vertical="center" wrapText="1"/>
    </xf>
    <xf numFmtId="167" fontId="49" fillId="0" borderId="8" xfId="0" applyNumberFormat="1" applyFont="1" applyBorder="1" applyAlignment="1">
      <alignment horizontal="center" vertical="center" wrapText="1"/>
    </xf>
    <xf numFmtId="167" fontId="49" fillId="3" borderId="8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167" fontId="49" fillId="0" borderId="18" xfId="0" applyNumberFormat="1" applyFont="1" applyBorder="1" applyAlignment="1">
      <alignment horizontal="center" vertical="center" wrapText="1"/>
    </xf>
    <xf numFmtId="0" fontId="49" fillId="0" borderId="17" xfId="0" applyFont="1" applyBorder="1" applyAlignment="1">
      <alignment horizontal="center" vertical="center" wrapText="1"/>
    </xf>
    <xf numFmtId="167" fontId="49" fillId="0" borderId="36" xfId="0" applyNumberFormat="1" applyFont="1" applyBorder="1" applyAlignment="1">
      <alignment horizontal="center" vertical="center" wrapText="1"/>
    </xf>
    <xf numFmtId="167" fontId="49" fillId="3" borderId="36" xfId="0" applyNumberFormat="1" applyFont="1" applyFill="1" applyBorder="1" applyAlignment="1">
      <alignment horizontal="center" vertical="center" wrapText="1"/>
    </xf>
    <xf numFmtId="167" fontId="49" fillId="0" borderId="19" xfId="0" applyNumberFormat="1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49" fillId="0" borderId="25" xfId="0" applyFont="1" applyBorder="1" applyAlignment="1">
      <alignment horizontal="center" vertical="center" wrapText="1"/>
    </xf>
    <xf numFmtId="0" fontId="49" fillId="5" borderId="8" xfId="0" applyFont="1" applyFill="1" applyBorder="1" applyAlignment="1">
      <alignment horizontal="center" vertical="center" wrapText="1"/>
    </xf>
    <xf numFmtId="2" fontId="49" fillId="0" borderId="8" xfId="0" applyNumberFormat="1" applyFont="1" applyBorder="1" applyAlignment="1">
      <alignment horizontal="center" vertical="center" wrapText="1"/>
    </xf>
    <xf numFmtId="0" fontId="49" fillId="5" borderId="8" xfId="0" quotePrefix="1" applyFont="1" applyFill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0" fontId="53" fillId="3" borderId="0" xfId="0" applyFont="1" applyFill="1" applyAlignment="1">
      <alignment horizontal="center" vertical="center"/>
    </xf>
    <xf numFmtId="0" fontId="48" fillId="0" borderId="0" xfId="0" applyFont="1"/>
    <xf numFmtId="0" fontId="53" fillId="3" borderId="0" xfId="0" applyFont="1" applyFill="1" applyAlignment="1">
      <alignment vertical="center"/>
    </xf>
    <xf numFmtId="0" fontId="48" fillId="3" borderId="0" xfId="0" applyFont="1" applyFill="1"/>
    <xf numFmtId="0" fontId="48" fillId="0" borderId="8" xfId="0" applyFont="1" applyBorder="1"/>
    <xf numFmtId="0" fontId="15" fillId="0" borderId="8" xfId="0" applyFont="1" applyBorder="1" applyAlignment="1">
      <alignment horizontal="justify" vertical="center" wrapText="1"/>
    </xf>
    <xf numFmtId="0" fontId="48" fillId="0" borderId="35" xfId="0" applyFont="1" applyBorder="1"/>
    <xf numFmtId="171" fontId="41" fillId="0" borderId="29" xfId="0" applyNumberFormat="1" applyFont="1" applyBorder="1" applyAlignment="1">
      <alignment horizontal="center" vertical="center" wrapText="1"/>
    </xf>
    <xf numFmtId="0" fontId="48" fillId="0" borderId="24" xfId="0" applyFont="1" applyBorder="1"/>
    <xf numFmtId="0" fontId="15" fillId="0" borderId="49" xfId="0" applyFont="1" applyBorder="1" applyAlignment="1">
      <alignment horizontal="justify" vertical="center" wrapText="1"/>
    </xf>
    <xf numFmtId="171" fontId="41" fillId="0" borderId="34" xfId="0" applyNumberFormat="1" applyFont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7" fillId="5" borderId="8" xfId="0" applyFont="1" applyFill="1" applyBorder="1" applyAlignment="1">
      <alignment horizontal="center" vertical="center" wrapText="1"/>
    </xf>
    <xf numFmtId="0" fontId="47" fillId="5" borderId="52" xfId="0" applyFont="1" applyFill="1" applyBorder="1" applyAlignment="1">
      <alignment horizontal="center" vertical="center" wrapText="1"/>
    </xf>
    <xf numFmtId="0" fontId="47" fillId="5" borderId="53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right" vertical="center"/>
    </xf>
    <xf numFmtId="0" fontId="15" fillId="3" borderId="20" xfId="0" applyFont="1" applyFill="1" applyBorder="1"/>
    <xf numFmtId="0" fontId="15" fillId="3" borderId="20" xfId="0" applyFont="1" applyFill="1" applyBorder="1" applyAlignment="1">
      <alignment vertical="center"/>
    </xf>
    <xf numFmtId="0" fontId="41" fillId="3" borderId="0" xfId="0" applyFont="1" applyFill="1" applyAlignment="1">
      <alignment horizontal="center" vertical="center"/>
    </xf>
    <xf numFmtId="0" fontId="15" fillId="3" borderId="9" xfId="0" applyFont="1" applyFill="1" applyBorder="1" applyAlignment="1">
      <alignment vertical="center"/>
    </xf>
    <xf numFmtId="166" fontId="41" fillId="3" borderId="1" xfId="0" applyNumberFormat="1" applyFont="1" applyFill="1" applyBorder="1" applyAlignment="1">
      <alignment horizontal="center" vertical="center"/>
    </xf>
    <xf numFmtId="10" fontId="41" fillId="3" borderId="1" xfId="0" applyNumberFormat="1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7" fontId="56" fillId="3" borderId="0" xfId="0" applyNumberFormat="1" applyFont="1" applyFill="1" applyAlignment="1">
      <alignment horizontal="center" vertical="center" wrapText="1"/>
    </xf>
    <xf numFmtId="8" fontId="56" fillId="3" borderId="0" xfId="0" applyNumberFormat="1" applyFont="1" applyFill="1" applyAlignment="1">
      <alignment horizontal="center" vertical="center" wrapText="1"/>
    </xf>
    <xf numFmtId="167" fontId="54" fillId="3" borderId="0" xfId="0" applyNumberFormat="1" applyFont="1" applyFill="1" applyAlignment="1">
      <alignment horizontal="center" vertical="center" wrapText="1"/>
    </xf>
    <xf numFmtId="2" fontId="54" fillId="3" borderId="0" xfId="0" applyNumberFormat="1" applyFont="1" applyFill="1" applyAlignment="1">
      <alignment horizontal="center" vertical="center" wrapText="1"/>
    </xf>
    <xf numFmtId="0" fontId="54" fillId="3" borderId="0" xfId="0" applyFont="1" applyFill="1" applyAlignment="1">
      <alignment horizontal="center" vertical="center"/>
    </xf>
    <xf numFmtId="4" fontId="49" fillId="0" borderId="8" xfId="1" applyNumberFormat="1" applyFont="1" applyBorder="1" applyAlignment="1">
      <alignment horizontal="center" vertical="center" wrapText="1"/>
    </xf>
    <xf numFmtId="4" fontId="49" fillId="0" borderId="29" xfId="0" applyNumberFormat="1" applyFont="1" applyBorder="1" applyAlignment="1">
      <alignment horizontal="center" vertical="center" wrapText="1"/>
    </xf>
    <xf numFmtId="167" fontId="49" fillId="6" borderId="8" xfId="0" applyNumberFormat="1" applyFont="1" applyFill="1" applyBorder="1" applyAlignment="1">
      <alignment horizontal="center" vertical="center" wrapText="1"/>
    </xf>
    <xf numFmtId="170" fontId="49" fillId="6" borderId="8" xfId="0" applyNumberFormat="1" applyFont="1" applyFill="1" applyBorder="1" applyAlignment="1">
      <alignment horizontal="center" vertical="center" wrapText="1"/>
    </xf>
    <xf numFmtId="0" fontId="49" fillId="6" borderId="35" xfId="0" applyFont="1" applyFill="1" applyBorder="1" applyAlignment="1">
      <alignment horizontal="center" vertical="center" wrapText="1"/>
    </xf>
    <xf numFmtId="0" fontId="49" fillId="6" borderId="8" xfId="0" applyFont="1" applyFill="1" applyBorder="1" applyAlignment="1">
      <alignment horizontal="center" vertical="center" wrapText="1"/>
    </xf>
    <xf numFmtId="167" fontId="58" fillId="3" borderId="0" xfId="0" applyNumberFormat="1" applyFont="1" applyFill="1" applyAlignment="1">
      <alignment horizontal="center" vertical="center"/>
    </xf>
    <xf numFmtId="10" fontId="58" fillId="3" borderId="0" xfId="0" applyNumberFormat="1" applyFont="1" applyFill="1" applyAlignment="1">
      <alignment horizontal="center" vertical="center"/>
    </xf>
    <xf numFmtId="0" fontId="58" fillId="3" borderId="9" xfId="0" applyFont="1" applyFill="1" applyBorder="1" applyAlignment="1">
      <alignment vertical="center"/>
    </xf>
    <xf numFmtId="0" fontId="59" fillId="3" borderId="0" xfId="0" applyFont="1" applyFill="1" applyAlignment="1">
      <alignment horizontal="center" vertical="center"/>
    </xf>
    <xf numFmtId="0" fontId="56" fillId="0" borderId="0" xfId="0" applyFont="1"/>
    <xf numFmtId="10" fontId="59" fillId="3" borderId="1" xfId="0" applyNumberFormat="1" applyFont="1" applyFill="1" applyBorder="1" applyAlignment="1">
      <alignment horizontal="center" vertical="center"/>
    </xf>
    <xf numFmtId="166" fontId="59" fillId="3" borderId="1" xfId="0" applyNumberFormat="1" applyFont="1" applyFill="1" applyBorder="1" applyAlignment="1">
      <alignment horizontal="center" vertical="center"/>
    </xf>
    <xf numFmtId="2" fontId="56" fillId="3" borderId="0" xfId="0" applyNumberFormat="1" applyFont="1" applyFill="1" applyAlignment="1">
      <alignment horizontal="center" vertical="center" wrapText="1"/>
    </xf>
    <xf numFmtId="0" fontId="54" fillId="3" borderId="8" xfId="0" applyFont="1" applyFill="1" applyBorder="1" applyAlignment="1">
      <alignment horizontal="center" vertical="center"/>
    </xf>
    <xf numFmtId="0" fontId="53" fillId="5" borderId="8" xfId="0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/>
    </xf>
    <xf numFmtId="170" fontId="0" fillId="0" borderId="0" xfId="0" applyNumberFormat="1"/>
    <xf numFmtId="0" fontId="53" fillId="5" borderId="8" xfId="0" applyFont="1" applyFill="1" applyBorder="1" applyAlignment="1">
      <alignment horizontal="center" vertical="center" wrapText="1"/>
    </xf>
    <xf numFmtId="0" fontId="60" fillId="5" borderId="8" xfId="0" applyFont="1" applyFill="1" applyBorder="1" applyAlignment="1">
      <alignment horizontal="center" vertical="center"/>
    </xf>
    <xf numFmtId="167" fontId="56" fillId="3" borderId="8" xfId="0" applyNumberFormat="1" applyFont="1" applyFill="1" applyBorder="1" applyAlignment="1">
      <alignment horizontal="center" vertical="center" wrapText="1"/>
    </xf>
    <xf numFmtId="8" fontId="56" fillId="3" borderId="8" xfId="0" applyNumberFormat="1" applyFont="1" applyFill="1" applyBorder="1" applyAlignment="1">
      <alignment horizontal="center" vertical="center" wrapText="1"/>
    </xf>
    <xf numFmtId="167" fontId="54" fillId="3" borderId="8" xfId="0" applyNumberFormat="1" applyFont="1" applyFill="1" applyBorder="1" applyAlignment="1">
      <alignment horizontal="center" vertical="center" wrapText="1"/>
    </xf>
    <xf numFmtId="2" fontId="54" fillId="3" borderId="8" xfId="0" applyNumberFormat="1" applyFont="1" applyFill="1" applyBorder="1" applyAlignment="1">
      <alignment horizontal="center" vertical="center" wrapText="1"/>
    </xf>
    <xf numFmtId="2" fontId="56" fillId="3" borderId="8" xfId="0" applyNumberFormat="1" applyFont="1" applyFill="1" applyBorder="1" applyAlignment="1">
      <alignment horizontal="center" vertical="center" wrapText="1"/>
    </xf>
    <xf numFmtId="0" fontId="61" fillId="0" borderId="0" xfId="0" applyFont="1"/>
    <xf numFmtId="166" fontId="41" fillId="3" borderId="0" xfId="0" applyNumberFormat="1" applyFont="1" applyFill="1" applyAlignment="1">
      <alignment horizontal="center" vertical="center"/>
    </xf>
    <xf numFmtId="10" fontId="41" fillId="3" borderId="0" xfId="0" applyNumberFormat="1" applyFont="1" applyFill="1" applyAlignment="1">
      <alignment horizontal="center" vertical="center"/>
    </xf>
    <xf numFmtId="167" fontId="41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62" fillId="0" borderId="0" xfId="5"/>
    <xf numFmtId="0" fontId="63" fillId="0" borderId="0" xfId="0" applyFont="1" applyAlignment="1">
      <alignment vertical="center"/>
    </xf>
    <xf numFmtId="0" fontId="12" fillId="3" borderId="20" xfId="0" applyFont="1" applyFill="1" applyBorder="1"/>
    <xf numFmtId="0" fontId="12" fillId="3" borderId="20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7" fontId="11" fillId="3" borderId="0" xfId="0" applyNumberFormat="1" applyFont="1" applyFill="1" applyAlignment="1">
      <alignment horizontal="center" vertical="center"/>
    </xf>
    <xf numFmtId="10" fontId="11" fillId="3" borderId="0" xfId="0" applyNumberFormat="1" applyFont="1" applyFill="1" applyAlignment="1">
      <alignment horizontal="center" vertical="center"/>
    </xf>
    <xf numFmtId="0" fontId="11" fillId="3" borderId="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167" fontId="9" fillId="3" borderId="0" xfId="0" applyNumberFormat="1" applyFont="1" applyFill="1" applyAlignment="1">
      <alignment horizontal="center" vertical="center"/>
    </xf>
    <xf numFmtId="10" fontId="9" fillId="3" borderId="0" xfId="0" applyNumberFormat="1" applyFont="1" applyFill="1" applyAlignment="1">
      <alignment horizontal="center" vertical="center"/>
    </xf>
    <xf numFmtId="0" fontId="9" fillId="3" borderId="15" xfId="0" applyFont="1" applyFill="1" applyBorder="1" applyAlignment="1">
      <alignment vertical="center"/>
    </xf>
    <xf numFmtId="0" fontId="8" fillId="3" borderId="20" xfId="0" applyFont="1" applyFill="1" applyBorder="1"/>
    <xf numFmtId="0" fontId="8" fillId="3" borderId="20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167" fontId="8" fillId="3" borderId="0" xfId="0" applyNumberFormat="1" applyFont="1" applyFill="1" applyAlignment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0" fontId="8" fillId="3" borderId="15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4" fontId="48" fillId="0" borderId="0" xfId="0" applyNumberFormat="1" applyFont="1"/>
    <xf numFmtId="0" fontId="23" fillId="0" borderId="0" xfId="0" applyFont="1"/>
    <xf numFmtId="0" fontId="66" fillId="7" borderId="0" xfId="0" applyFont="1" applyFill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58" fillId="3" borderId="8" xfId="0" applyFont="1" applyFill="1" applyBorder="1" applyAlignment="1">
      <alignment vertical="center"/>
    </xf>
    <xf numFmtId="0" fontId="46" fillId="3" borderId="20" xfId="0" applyFont="1" applyFill="1" applyBorder="1" applyAlignment="1">
      <alignment horizontal="right" vertical="center"/>
    </xf>
    <xf numFmtId="0" fontId="46" fillId="3" borderId="0" xfId="0" applyFont="1" applyFill="1" applyAlignment="1">
      <alignment horizontal="right" vertical="center"/>
    </xf>
    <xf numFmtId="0" fontId="45" fillId="3" borderId="0" xfId="0" applyFont="1" applyFill="1" applyAlignment="1">
      <alignment horizontal="left" vertical="center"/>
    </xf>
    <xf numFmtId="0" fontId="45" fillId="3" borderId="9" xfId="0" applyFont="1" applyFill="1" applyBorder="1" applyAlignment="1">
      <alignment horizontal="left" vertical="center"/>
    </xf>
    <xf numFmtId="0" fontId="43" fillId="5" borderId="8" xfId="0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6" fillId="3" borderId="19" xfId="0" applyFont="1" applyFill="1" applyBorder="1" applyAlignment="1">
      <alignment horizontal="right" vertical="center"/>
    </xf>
    <xf numFmtId="0" fontId="46" fillId="3" borderId="18" xfId="0" applyFont="1" applyFill="1" applyBorder="1" applyAlignment="1">
      <alignment horizontal="right" vertical="center"/>
    </xf>
    <xf numFmtId="0" fontId="45" fillId="3" borderId="18" xfId="0" applyFont="1" applyFill="1" applyBorder="1" applyAlignment="1">
      <alignment horizontal="left" vertical="center"/>
    </xf>
    <xf numFmtId="0" fontId="45" fillId="3" borderId="17" xfId="0" applyFont="1" applyFill="1" applyBorder="1" applyAlignment="1">
      <alignment horizontal="left" vertical="center"/>
    </xf>
    <xf numFmtId="0" fontId="46" fillId="3" borderId="12" xfId="0" applyFont="1" applyFill="1" applyBorder="1" applyAlignment="1">
      <alignment horizontal="right" vertical="center"/>
    </xf>
    <xf numFmtId="0" fontId="46" fillId="3" borderId="1" xfId="0" applyFont="1" applyFill="1" applyBorder="1" applyAlignment="1">
      <alignment horizontal="right" vertical="center"/>
    </xf>
    <xf numFmtId="0" fontId="45" fillId="3" borderId="1" xfId="0" applyFont="1" applyFill="1" applyBorder="1" applyAlignment="1">
      <alignment horizontal="left" vertical="center"/>
    </xf>
    <xf numFmtId="0" fontId="45" fillId="3" borderId="15" xfId="0" applyFont="1" applyFill="1" applyBorder="1" applyAlignment="1">
      <alignment horizontal="left" vertical="center"/>
    </xf>
    <xf numFmtId="0" fontId="43" fillId="5" borderId="11" xfId="0" applyFont="1" applyFill="1" applyBorder="1" applyAlignment="1">
      <alignment horizontal="center" vertical="center"/>
    </xf>
    <xf numFmtId="0" fontId="43" fillId="5" borderId="2" xfId="0" applyFont="1" applyFill="1" applyBorder="1" applyAlignment="1">
      <alignment horizontal="center" vertical="center"/>
    </xf>
    <xf numFmtId="0" fontId="43" fillId="5" borderId="14" xfId="0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3" fontId="46" fillId="3" borderId="19" xfId="0" applyNumberFormat="1" applyFont="1" applyFill="1" applyBorder="1" applyAlignment="1">
      <alignment horizontal="center"/>
    </xf>
    <xf numFmtId="0" fontId="46" fillId="3" borderId="18" xfId="0" applyFont="1" applyFill="1" applyBorder="1" applyAlignment="1">
      <alignment horizontal="center"/>
    </xf>
    <xf numFmtId="170" fontId="46" fillId="3" borderId="18" xfId="0" applyNumberFormat="1" applyFont="1" applyFill="1" applyBorder="1" applyAlignment="1">
      <alignment horizontal="center"/>
    </xf>
    <xf numFmtId="170" fontId="46" fillId="3" borderId="17" xfId="0" applyNumberFormat="1" applyFont="1" applyFill="1" applyBorder="1" applyAlignment="1">
      <alignment horizontal="center"/>
    </xf>
    <xf numFmtId="3" fontId="45" fillId="3" borderId="19" xfId="0" applyNumberFormat="1" applyFont="1" applyFill="1" applyBorder="1" applyAlignment="1">
      <alignment horizontal="center" vertical="center"/>
    </xf>
    <xf numFmtId="0" fontId="45" fillId="3" borderId="18" xfId="0" applyFont="1" applyFill="1" applyBorder="1" applyAlignment="1">
      <alignment horizontal="center" vertical="center"/>
    </xf>
    <xf numFmtId="0" fontId="45" fillId="3" borderId="17" xfId="0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167" fontId="45" fillId="3" borderId="19" xfId="0" applyNumberFormat="1" applyFont="1" applyFill="1" applyBorder="1" applyAlignment="1">
      <alignment horizontal="center" vertical="center"/>
    </xf>
    <xf numFmtId="167" fontId="45" fillId="3" borderId="18" xfId="0" applyNumberFormat="1" applyFont="1" applyFill="1" applyBorder="1" applyAlignment="1">
      <alignment horizontal="center" vertical="center"/>
    </xf>
    <xf numFmtId="167" fontId="45" fillId="3" borderId="17" xfId="0" applyNumberFormat="1" applyFont="1" applyFill="1" applyBorder="1" applyAlignment="1">
      <alignment horizontal="center" vertical="center"/>
    </xf>
    <xf numFmtId="2" fontId="45" fillId="3" borderId="19" xfId="0" applyNumberFormat="1" applyFont="1" applyFill="1" applyBorder="1" applyAlignment="1">
      <alignment horizontal="center" vertical="center"/>
    </xf>
    <xf numFmtId="2" fontId="45" fillId="3" borderId="18" xfId="0" applyNumberFormat="1" applyFont="1" applyFill="1" applyBorder="1" applyAlignment="1">
      <alignment horizontal="center" vertical="center"/>
    </xf>
    <xf numFmtId="2" fontId="45" fillId="3" borderId="17" xfId="0" applyNumberFormat="1" applyFont="1" applyFill="1" applyBorder="1" applyAlignment="1">
      <alignment horizontal="center" vertical="center"/>
    </xf>
    <xf numFmtId="0" fontId="45" fillId="3" borderId="12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5" fillId="3" borderId="15" xfId="0" applyFont="1" applyFill="1" applyBorder="1" applyAlignment="1">
      <alignment horizontal="center" vertical="center"/>
    </xf>
    <xf numFmtId="167" fontId="45" fillId="3" borderId="12" xfId="0" applyNumberFormat="1" applyFont="1" applyFill="1" applyBorder="1" applyAlignment="1">
      <alignment horizontal="center" vertical="center"/>
    </xf>
    <xf numFmtId="167" fontId="45" fillId="3" borderId="1" xfId="0" applyNumberFormat="1" applyFont="1" applyFill="1" applyBorder="1" applyAlignment="1">
      <alignment horizontal="center" vertical="center"/>
    </xf>
    <xf numFmtId="167" fontId="45" fillId="3" borderId="15" xfId="0" applyNumberFormat="1" applyFont="1" applyFill="1" applyBorder="1" applyAlignment="1">
      <alignment horizontal="center" vertical="center"/>
    </xf>
    <xf numFmtId="2" fontId="45" fillId="3" borderId="12" xfId="0" applyNumberFormat="1" applyFont="1" applyFill="1" applyBorder="1" applyAlignment="1">
      <alignment horizontal="center" vertical="center"/>
    </xf>
    <xf numFmtId="2" fontId="45" fillId="3" borderId="1" xfId="0" applyNumberFormat="1" applyFont="1" applyFill="1" applyBorder="1" applyAlignment="1">
      <alignment horizontal="center" vertical="center"/>
    </xf>
    <xf numFmtId="2" fontId="45" fillId="3" borderId="15" xfId="0" applyNumberFormat="1" applyFont="1" applyFill="1" applyBorder="1" applyAlignment="1">
      <alignment horizontal="center" vertical="center"/>
    </xf>
    <xf numFmtId="0" fontId="46" fillId="3" borderId="20" xfId="0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170" fontId="46" fillId="3" borderId="0" xfId="0" applyNumberFormat="1" applyFont="1" applyFill="1" applyAlignment="1">
      <alignment horizontal="center"/>
    </xf>
    <xf numFmtId="170" fontId="46" fillId="3" borderId="9" xfId="0" applyNumberFormat="1" applyFont="1" applyFill="1" applyBorder="1" applyAlignment="1">
      <alignment horizontal="center"/>
    </xf>
    <xf numFmtId="0" fontId="46" fillId="3" borderId="12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170" fontId="46" fillId="3" borderId="1" xfId="0" applyNumberFormat="1" applyFont="1" applyFill="1" applyBorder="1" applyAlignment="1">
      <alignment horizontal="center"/>
    </xf>
    <xf numFmtId="170" fontId="46" fillId="3" borderId="15" xfId="0" applyNumberFormat="1" applyFont="1" applyFill="1" applyBorder="1" applyAlignment="1">
      <alignment horizontal="center"/>
    </xf>
    <xf numFmtId="0" fontId="65" fillId="5" borderId="0" xfId="0" applyFont="1" applyFill="1" applyAlignment="1">
      <alignment horizontal="center" vertical="center" wrapText="1"/>
    </xf>
    <xf numFmtId="0" fontId="66" fillId="5" borderId="0" xfId="0" applyFont="1" applyFill="1" applyAlignment="1">
      <alignment horizontal="center" vertical="center" wrapText="1"/>
    </xf>
    <xf numFmtId="0" fontId="53" fillId="5" borderId="8" xfId="0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/>
    </xf>
    <xf numFmtId="0" fontId="55" fillId="3" borderId="8" xfId="0" applyFont="1" applyFill="1" applyBorder="1" applyAlignment="1">
      <alignment horizontal="center"/>
    </xf>
    <xf numFmtId="10" fontId="53" fillId="3" borderId="8" xfId="0" applyNumberFormat="1" applyFont="1" applyFill="1" applyBorder="1" applyAlignment="1">
      <alignment horizontal="center" vertical="center"/>
    </xf>
    <xf numFmtId="0" fontId="54" fillId="3" borderId="8" xfId="0" applyFont="1" applyFill="1" applyBorder="1" applyAlignment="1">
      <alignment horizontal="center" vertical="center"/>
    </xf>
    <xf numFmtId="0" fontId="48" fillId="3" borderId="8" xfId="0" applyFont="1" applyFill="1" applyBorder="1" applyAlignment="1">
      <alignment horizontal="center"/>
    </xf>
    <xf numFmtId="2" fontId="54" fillId="3" borderId="8" xfId="0" applyNumberFormat="1" applyFont="1" applyFill="1" applyBorder="1" applyAlignment="1">
      <alignment horizontal="center" vertical="center"/>
    </xf>
    <xf numFmtId="166" fontId="13" fillId="3" borderId="8" xfId="0" applyNumberFormat="1" applyFont="1" applyFill="1" applyBorder="1" applyAlignment="1">
      <alignment horizontal="center" vertical="center"/>
    </xf>
    <xf numFmtId="9" fontId="53" fillId="3" borderId="8" xfId="0" applyNumberFormat="1" applyFont="1" applyFill="1" applyBorder="1" applyAlignment="1">
      <alignment horizontal="center" vertical="center"/>
    </xf>
    <xf numFmtId="0" fontId="54" fillId="3" borderId="36" xfId="0" applyFont="1" applyFill="1" applyBorder="1" applyAlignment="1">
      <alignment horizontal="left" vertical="center"/>
    </xf>
    <xf numFmtId="0" fontId="54" fillId="3" borderId="8" xfId="0" applyFont="1" applyFill="1" applyBorder="1" applyAlignment="1">
      <alignment horizontal="left" vertical="center"/>
    </xf>
    <xf numFmtId="2" fontId="54" fillId="3" borderId="11" xfId="0" applyNumberFormat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/>
    </xf>
    <xf numFmtId="167" fontId="54" fillId="3" borderId="8" xfId="0" applyNumberFormat="1" applyFont="1" applyFill="1" applyBorder="1" applyAlignment="1">
      <alignment horizontal="center" vertical="center"/>
    </xf>
    <xf numFmtId="0" fontId="53" fillId="3" borderId="13" xfId="0" applyFont="1" applyFill="1" applyBorder="1" applyAlignment="1">
      <alignment horizontal="center" vertical="center"/>
    </xf>
    <xf numFmtId="0" fontId="55" fillId="3" borderId="13" xfId="0" applyFont="1" applyFill="1" applyBorder="1" applyAlignment="1">
      <alignment horizontal="center"/>
    </xf>
    <xf numFmtId="2" fontId="58" fillId="3" borderId="0" xfId="0" applyNumberFormat="1" applyFont="1" applyFill="1" applyAlignment="1">
      <alignment horizontal="center" vertical="center"/>
    </xf>
    <xf numFmtId="0" fontId="58" fillId="3" borderId="20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41" fillId="3" borderId="12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167" fontId="41" fillId="3" borderId="1" xfId="0" applyNumberFormat="1" applyFont="1" applyFill="1" applyBorder="1" applyAlignment="1">
      <alignment horizontal="center" vertical="center"/>
    </xf>
    <xf numFmtId="0" fontId="41" fillId="6" borderId="20" xfId="0" applyFont="1" applyFill="1" applyBorder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41" fillId="6" borderId="9" xfId="0" applyFont="1" applyFill="1" applyBorder="1" applyAlignment="1">
      <alignment horizontal="center" vertical="center"/>
    </xf>
    <xf numFmtId="0" fontId="41" fillId="3" borderId="20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0" fontId="41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14" fontId="9" fillId="3" borderId="0" xfId="0" applyNumberFormat="1" applyFont="1" applyFill="1" applyAlignment="1">
      <alignment horizontal="left" vertical="center"/>
    </xf>
    <xf numFmtId="14" fontId="9" fillId="3" borderId="9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41" fillId="3" borderId="20" xfId="0" applyFont="1" applyFill="1" applyBorder="1" applyAlignment="1">
      <alignment horizontal="right" vertical="center"/>
    </xf>
    <xf numFmtId="166" fontId="8" fillId="3" borderId="0" xfId="0" applyNumberFormat="1" applyFont="1" applyFill="1" applyAlignment="1">
      <alignment horizontal="left" vertical="center"/>
    </xf>
    <xf numFmtId="170" fontId="8" fillId="3" borderId="0" xfId="0" applyNumberFormat="1" applyFont="1" applyFill="1" applyAlignment="1">
      <alignment horizontal="left" vertical="center"/>
    </xf>
    <xf numFmtId="4" fontId="8" fillId="3" borderId="0" xfId="0" applyNumberFormat="1" applyFont="1" applyFill="1" applyAlignment="1">
      <alignment horizontal="left" vertical="center"/>
    </xf>
    <xf numFmtId="4" fontId="8" fillId="3" borderId="9" xfId="0" applyNumberFormat="1" applyFont="1" applyFill="1" applyBorder="1" applyAlignment="1">
      <alignment horizontal="left" vertical="center"/>
    </xf>
    <xf numFmtId="0" fontId="41" fillId="5" borderId="0" xfId="0" applyFont="1" applyFill="1" applyAlignment="1">
      <alignment horizontal="center" vertical="center"/>
    </xf>
    <xf numFmtId="0" fontId="41" fillId="3" borderId="20" xfId="0" applyFont="1" applyFill="1" applyBorder="1" applyAlignment="1" applyProtection="1">
      <alignment horizontal="right" vertical="center"/>
      <protection locked="0"/>
    </xf>
    <xf numFmtId="0" fontId="41" fillId="3" borderId="0" xfId="0" applyFont="1" applyFill="1" applyAlignment="1" applyProtection="1">
      <alignment horizontal="right" vertical="center"/>
      <protection locked="0"/>
    </xf>
    <xf numFmtId="0" fontId="58" fillId="3" borderId="0" xfId="0" applyFont="1" applyFill="1" applyAlignment="1">
      <alignment horizontal="left" vertical="center"/>
    </xf>
    <xf numFmtId="0" fontId="58" fillId="3" borderId="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2" fillId="3" borderId="9" xfId="0" applyFont="1" applyFill="1" applyBorder="1" applyAlignment="1">
      <alignment horizontal="left" vertical="center"/>
    </xf>
    <xf numFmtId="170" fontId="12" fillId="3" borderId="0" xfId="0" applyNumberFormat="1" applyFont="1" applyFill="1" applyAlignment="1">
      <alignment horizontal="left" vertical="center"/>
    </xf>
    <xf numFmtId="4" fontId="12" fillId="3" borderId="0" xfId="0" applyNumberFormat="1" applyFont="1" applyFill="1" applyAlignment="1">
      <alignment horizontal="left" vertical="center"/>
    </xf>
    <xf numFmtId="4" fontId="12" fillId="3" borderId="9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6" fontId="5" fillId="3" borderId="0" xfId="0" applyNumberFormat="1" applyFont="1" applyFill="1" applyAlignment="1">
      <alignment horizontal="left" vertical="center"/>
    </xf>
    <xf numFmtId="166" fontId="12" fillId="3" borderId="0" xfId="0" applyNumberFormat="1" applyFont="1" applyFill="1" applyAlignment="1">
      <alignment horizontal="left" vertical="center"/>
    </xf>
    <xf numFmtId="0" fontId="59" fillId="5" borderId="0" xfId="0" applyFont="1" applyFill="1" applyAlignment="1">
      <alignment horizontal="center" vertical="center"/>
    </xf>
    <xf numFmtId="170" fontId="12" fillId="3" borderId="9" xfId="0" applyNumberFormat="1" applyFont="1" applyFill="1" applyBorder="1" applyAlignment="1">
      <alignment horizontal="left" vertical="center"/>
    </xf>
    <xf numFmtId="166" fontId="7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2" fontId="11" fillId="3" borderId="0" xfId="0" applyNumberFormat="1" applyFont="1" applyFill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57" fillId="3" borderId="0" xfId="0" applyFont="1" applyFill="1" applyAlignment="1">
      <alignment horizontal="left" vertical="center"/>
    </xf>
    <xf numFmtId="0" fontId="57" fillId="3" borderId="9" xfId="0" applyFont="1" applyFill="1" applyBorder="1" applyAlignment="1">
      <alignment horizontal="left" vertical="center"/>
    </xf>
    <xf numFmtId="166" fontId="58" fillId="3" borderId="0" xfId="0" applyNumberFormat="1" applyFont="1" applyFill="1" applyAlignment="1">
      <alignment horizontal="left" vertical="center"/>
    </xf>
    <xf numFmtId="170" fontId="58" fillId="3" borderId="0" xfId="0" applyNumberFormat="1" applyFont="1" applyFill="1" applyAlignment="1">
      <alignment horizontal="left" vertical="center"/>
    </xf>
    <xf numFmtId="4" fontId="58" fillId="3" borderId="0" xfId="0" applyNumberFormat="1" applyFont="1" applyFill="1" applyAlignment="1">
      <alignment horizontal="left" vertical="center"/>
    </xf>
    <xf numFmtId="4" fontId="58" fillId="3" borderId="9" xfId="0" applyNumberFormat="1" applyFont="1" applyFill="1" applyBorder="1" applyAlignment="1">
      <alignment horizontal="left" vertical="center"/>
    </xf>
    <xf numFmtId="0" fontId="59" fillId="3" borderId="12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167" fontId="59" fillId="3" borderId="1" xfId="0" applyNumberFormat="1" applyFont="1" applyFill="1" applyBorder="1" applyAlignment="1">
      <alignment horizontal="center" vertical="center"/>
    </xf>
    <xf numFmtId="0" fontId="59" fillId="3" borderId="20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166" fontId="9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3" fontId="9" fillId="3" borderId="0" xfId="0" applyNumberFormat="1" applyFont="1" applyFill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49" fillId="0" borderId="20" xfId="0" applyFont="1" applyBorder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49" fontId="49" fillId="0" borderId="20" xfId="0" applyNumberFormat="1" applyFont="1" applyBorder="1" applyAlignment="1">
      <alignment horizontal="left" vertical="center" wrapText="1"/>
    </xf>
    <xf numFmtId="49" fontId="49" fillId="0" borderId="0" xfId="0" applyNumberFormat="1" applyFont="1" applyAlignment="1">
      <alignment horizontal="left" vertical="center" wrapText="1"/>
    </xf>
    <xf numFmtId="0" fontId="49" fillId="6" borderId="35" xfId="0" applyFont="1" applyFill="1" applyBorder="1" applyAlignment="1">
      <alignment horizontal="center" vertical="center" wrapText="1"/>
    </xf>
    <xf numFmtId="0" fontId="49" fillId="6" borderId="8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49" fontId="49" fillId="0" borderId="9" xfId="0" applyNumberFormat="1" applyFont="1" applyBorder="1" applyAlignment="1">
      <alignment horizontal="left" vertical="center" wrapText="1"/>
    </xf>
    <xf numFmtId="0" fontId="49" fillId="6" borderId="49" xfId="0" applyFont="1" applyFill="1" applyBorder="1" applyAlignment="1">
      <alignment horizontal="center" vertical="center" wrapText="1"/>
    </xf>
    <xf numFmtId="0" fontId="49" fillId="6" borderId="50" xfId="0" applyFont="1" applyFill="1" applyBorder="1" applyAlignment="1">
      <alignment horizontal="center" vertical="center" wrapText="1"/>
    </xf>
    <xf numFmtId="0" fontId="49" fillId="0" borderId="51" xfId="0" applyFont="1" applyBorder="1" applyAlignment="1">
      <alignment horizontal="left" vertical="center" wrapText="1"/>
    </xf>
    <xf numFmtId="0" fontId="49" fillId="0" borderId="37" xfId="0" applyFont="1" applyBorder="1" applyAlignment="1">
      <alignment horizontal="left" vertical="center" wrapText="1"/>
    </xf>
    <xf numFmtId="0" fontId="0" fillId="3" borderId="20" xfId="0" applyFill="1" applyBorder="1" applyAlignment="1">
      <alignment horizontal="right"/>
    </xf>
    <xf numFmtId="0" fontId="0" fillId="3" borderId="0" xfId="0" applyFill="1" applyAlignment="1">
      <alignment horizontal="right"/>
    </xf>
    <xf numFmtId="170" fontId="0" fillId="3" borderId="0" xfId="0" applyNumberFormat="1" applyFill="1" applyAlignment="1">
      <alignment horizontal="center"/>
    </xf>
    <xf numFmtId="170" fontId="0" fillId="3" borderId="9" xfId="0" applyNumberFormat="1" applyFill="1" applyBorder="1" applyAlignment="1">
      <alignment horizontal="center"/>
    </xf>
    <xf numFmtId="0" fontId="41" fillId="6" borderId="11" xfId="0" applyFont="1" applyFill="1" applyBorder="1" applyAlignment="1">
      <alignment horizontal="right"/>
    </xf>
    <xf numFmtId="0" fontId="41" fillId="6" borderId="2" xfId="0" applyFont="1" applyFill="1" applyBorder="1" applyAlignment="1">
      <alignment horizontal="right"/>
    </xf>
    <xf numFmtId="170" fontId="41" fillId="6" borderId="2" xfId="0" applyNumberFormat="1" applyFont="1" applyFill="1" applyBorder="1" applyAlignment="1">
      <alignment horizontal="center"/>
    </xf>
    <xf numFmtId="170" fontId="41" fillId="6" borderId="14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3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2" fontId="0" fillId="3" borderId="0" xfId="3" applyNumberFormat="1" applyFont="1" applyFill="1" applyBorder="1" applyAlignment="1">
      <alignment horizontal="center"/>
    </xf>
    <xf numFmtId="2" fontId="0" fillId="3" borderId="9" xfId="3" applyNumberFormat="1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73" fontId="0" fillId="3" borderId="0" xfId="0" applyNumberFormat="1" applyFill="1" applyAlignment="1">
      <alignment horizontal="center"/>
    </xf>
    <xf numFmtId="173" fontId="0" fillId="3" borderId="9" xfId="0" applyNumberFormat="1" applyFill="1" applyBorder="1" applyAlignment="1">
      <alignment horizontal="center"/>
    </xf>
    <xf numFmtId="172" fontId="0" fillId="3" borderId="0" xfId="3" applyNumberFormat="1" applyFont="1" applyFill="1" applyBorder="1" applyAlignment="1">
      <alignment horizontal="center"/>
    </xf>
    <xf numFmtId="172" fontId="0" fillId="3" borderId="9" xfId="3" applyNumberFormat="1" applyFont="1" applyFill="1" applyBorder="1" applyAlignment="1">
      <alignment horizontal="center"/>
    </xf>
    <xf numFmtId="0" fontId="64" fillId="6" borderId="11" xfId="0" applyFont="1" applyFill="1" applyBorder="1" applyAlignment="1">
      <alignment horizontal="right"/>
    </xf>
    <xf numFmtId="0" fontId="64" fillId="6" borderId="2" xfId="0" applyFont="1" applyFill="1" applyBorder="1" applyAlignment="1">
      <alignment horizontal="right"/>
    </xf>
    <xf numFmtId="170" fontId="64" fillId="6" borderId="2" xfId="0" applyNumberFormat="1" applyFont="1" applyFill="1" applyBorder="1" applyAlignment="1">
      <alignment horizontal="center"/>
    </xf>
    <xf numFmtId="170" fontId="64" fillId="6" borderId="14" xfId="0" applyNumberFormat="1" applyFont="1" applyFill="1" applyBorder="1" applyAlignment="1">
      <alignment horizontal="center"/>
    </xf>
    <xf numFmtId="49" fontId="34" fillId="3" borderId="0" xfId="0" applyNumberFormat="1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165" fontId="33" fillId="3" borderId="0" xfId="2" applyFont="1" applyFill="1" applyBorder="1" applyAlignment="1" applyProtection="1">
      <alignment horizontal="center"/>
      <protection locked="0"/>
    </xf>
    <xf numFmtId="43" fontId="32" fillId="3" borderId="0" xfId="0" applyNumberFormat="1" applyFont="1" applyFill="1" applyAlignment="1">
      <alignment horizontal="center"/>
    </xf>
    <xf numFmtId="0" fontId="32" fillId="3" borderId="0" xfId="0" applyFont="1" applyFill="1" applyAlignment="1">
      <alignment horizontal="center"/>
    </xf>
    <xf numFmtId="17" fontId="39" fillId="3" borderId="0" xfId="0" applyNumberFormat="1" applyFont="1" applyFill="1" applyAlignment="1">
      <alignment horizontal="left"/>
    </xf>
    <xf numFmtId="0" fontId="39" fillId="3" borderId="0" xfId="0" applyFont="1" applyFill="1" applyAlignment="1">
      <alignment horizontal="left"/>
    </xf>
    <xf numFmtId="14" fontId="34" fillId="3" borderId="0" xfId="0" applyNumberFormat="1" applyFont="1" applyFill="1" applyAlignment="1" applyProtection="1">
      <alignment horizontal="left"/>
      <protection locked="0"/>
    </xf>
    <xf numFmtId="14" fontId="34" fillId="3" borderId="0" xfId="0" applyNumberFormat="1" applyFont="1" applyFill="1" applyAlignment="1">
      <alignment horizontal="left"/>
    </xf>
    <xf numFmtId="0" fontId="35" fillId="3" borderId="0" xfId="0" applyFont="1" applyFill="1" applyAlignment="1">
      <alignment horizontal="center" vertical="top" wrapText="1"/>
    </xf>
    <xf numFmtId="0" fontId="32" fillId="0" borderId="0" xfId="0" applyFont="1" applyAlignment="1">
      <alignment horizontal="center"/>
    </xf>
    <xf numFmtId="164" fontId="32" fillId="3" borderId="0" xfId="0" applyNumberFormat="1" applyFont="1" applyFill="1" applyAlignment="1">
      <alignment horizontal="center"/>
    </xf>
    <xf numFmtId="164" fontId="32" fillId="3" borderId="0" xfId="1" applyFont="1" applyFill="1" applyBorder="1" applyAlignment="1" applyProtection="1">
      <alignment horizontal="center"/>
    </xf>
    <xf numFmtId="164" fontId="20" fillId="4" borderId="0" xfId="1" applyFont="1" applyFill="1" applyBorder="1" applyAlignment="1" applyProtection="1">
      <alignment horizontal="center"/>
    </xf>
    <xf numFmtId="164" fontId="34" fillId="3" borderId="0" xfId="1" applyFont="1" applyFill="1" applyBorder="1" applyAlignment="1" applyProtection="1">
      <alignment horizontal="center"/>
    </xf>
    <xf numFmtId="0" fontId="34" fillId="3" borderId="0" xfId="0" applyFont="1" applyFill="1" applyAlignment="1" applyProtection="1">
      <alignment horizontal="left"/>
      <protection locked="0"/>
    </xf>
    <xf numFmtId="165" fontId="39" fillId="3" borderId="0" xfId="2" applyFont="1" applyFill="1" applyBorder="1" applyAlignment="1" applyProtection="1">
      <alignment horizontal="center"/>
    </xf>
    <xf numFmtId="165" fontId="40" fillId="4" borderId="0" xfId="2" applyFont="1" applyFill="1" applyBorder="1" applyAlignment="1" applyProtection="1">
      <alignment horizontal="center"/>
    </xf>
    <xf numFmtId="165" fontId="40" fillId="3" borderId="0" xfId="2" applyFont="1" applyFill="1" applyBorder="1" applyAlignment="1" applyProtection="1">
      <alignment horizontal="right"/>
    </xf>
    <xf numFmtId="165" fontId="40" fillId="3" borderId="0" xfId="2" applyFont="1" applyFill="1" applyBorder="1" applyAlignment="1" applyProtection="1">
      <alignment horizontal="center"/>
    </xf>
    <xf numFmtId="0" fontId="23" fillId="3" borderId="0" xfId="0" applyFont="1" applyFill="1" applyAlignment="1">
      <alignment horizontal="center"/>
    </xf>
    <xf numFmtId="164" fontId="34" fillId="3" borderId="0" xfId="0" applyNumberFormat="1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164" fontId="37" fillId="3" borderId="0" xfId="1" applyFont="1" applyFill="1" applyBorder="1" applyAlignment="1" applyProtection="1">
      <alignment horizontal="center"/>
    </xf>
    <xf numFmtId="39" fontId="40" fillId="3" borderId="0" xfId="2" applyNumberFormat="1" applyFont="1" applyFill="1" applyBorder="1" applyAlignment="1" applyProtection="1">
      <alignment horizontal="right"/>
    </xf>
    <xf numFmtId="0" fontId="21" fillId="3" borderId="43" xfId="0" applyFont="1" applyFill="1" applyBorder="1" applyAlignment="1">
      <alignment horizontal="center"/>
    </xf>
    <xf numFmtId="0" fontId="21" fillId="3" borderId="44" xfId="0" applyFont="1" applyFill="1" applyBorder="1" applyAlignment="1">
      <alignment horizontal="center"/>
    </xf>
    <xf numFmtId="0" fontId="21" fillId="3" borderId="45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1" fillId="3" borderId="14" xfId="0" applyFont="1" applyFill="1" applyBorder="1" applyAlignment="1">
      <alignment horizontal="center"/>
    </xf>
    <xf numFmtId="0" fontId="27" fillId="3" borderId="26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36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36" xfId="0" applyFont="1" applyFill="1" applyBorder="1" applyAlignment="1">
      <alignment horizontal="center" vertical="justify"/>
    </xf>
    <xf numFmtId="0" fontId="27" fillId="3" borderId="13" xfId="0" applyFont="1" applyFill="1" applyBorder="1" applyAlignment="1">
      <alignment horizontal="center" vertical="justify"/>
    </xf>
    <xf numFmtId="0" fontId="27" fillId="3" borderId="17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22" xfId="0" applyFont="1" applyFill="1" applyBorder="1" applyAlignment="1">
      <alignment horizontal="center" vertical="center"/>
    </xf>
    <xf numFmtId="0" fontId="26" fillId="3" borderId="40" xfId="0" applyFont="1" applyFill="1" applyBorder="1" applyAlignment="1">
      <alignment horizontal="center"/>
    </xf>
    <xf numFmtId="0" fontId="26" fillId="3" borderId="41" xfId="0" applyFont="1" applyFill="1" applyBorder="1" applyAlignment="1">
      <alignment horizontal="center"/>
    </xf>
    <xf numFmtId="0" fontId="26" fillId="3" borderId="42" xfId="0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1" fillId="3" borderId="25" xfId="0" applyFont="1" applyFill="1" applyBorder="1" applyAlignment="1">
      <alignment horizontal="center"/>
    </xf>
    <xf numFmtId="0" fontId="27" fillId="3" borderId="17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top" wrapText="1"/>
    </xf>
    <xf numFmtId="0" fontId="21" fillId="0" borderId="1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17" fillId="0" borderId="1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2" borderId="1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49" fontId="55" fillId="5" borderId="8" xfId="0" applyNumberFormat="1" applyFont="1" applyFill="1" applyBorder="1" applyAlignment="1">
      <alignment horizontal="center"/>
    </xf>
    <xf numFmtId="49" fontId="48" fillId="5" borderId="8" xfId="0" applyNumberFormat="1" applyFont="1" applyFill="1" applyBorder="1" applyAlignment="1">
      <alignment horizontal="center"/>
    </xf>
  </cellXfs>
  <cellStyles count="6">
    <cellStyle name="Hiperlink" xfId="5" builtinId="8"/>
    <cellStyle name="Moeda" xfId="1" builtinId="4"/>
    <cellStyle name="Normal" xfId="0" builtinId="0"/>
    <cellStyle name="Porcentagem" xfId="3" builtinId="5"/>
    <cellStyle name="Vírgula" xfId="2" builtinId="3"/>
    <cellStyle name="Vírgula 2" xfId="4"/>
  </cellStyles>
  <dxfs count="9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mruColors>
      <color rgb="FF00FF0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to.olx.com.br/tocantins/terrenos/fazenda--na-regiao-de-juarina-to-1088250640?lis=listing_1100" TargetMode="External"/><Relationship Id="rId1" Type="http://schemas.openxmlformats.org/officeDocument/2006/relationships/hyperlink" Target="https://to.olx.com.br/tocantins/terrenos/fazenda-na-regiao-de-juarina-to-1015923530?lis=listing_110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7"/>
  <sheetViews>
    <sheetView topLeftCell="B40" workbookViewId="0">
      <selection activeCell="B36" sqref="B36:E36"/>
    </sheetView>
  </sheetViews>
  <sheetFormatPr defaultRowHeight="12.75"/>
  <sheetData>
    <row r="3" spans="2:13">
      <c r="B3" s="247" t="s">
        <v>245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</row>
    <row r="4" spans="2:13"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</row>
    <row r="5" spans="2:13" ht="19.5"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spans="2:13" ht="17.25"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8"/>
    </row>
    <row r="7" spans="2:13" ht="17.25">
      <c r="B7" s="243" t="s">
        <v>104</v>
      </c>
      <c r="C7" s="244"/>
      <c r="D7" s="244"/>
      <c r="E7" s="245" t="s">
        <v>246</v>
      </c>
      <c r="F7" s="245"/>
      <c r="G7" s="245"/>
      <c r="H7" s="245"/>
      <c r="I7" s="245"/>
      <c r="J7" s="245"/>
      <c r="K7" s="245"/>
      <c r="L7" s="245"/>
      <c r="M7" s="246"/>
    </row>
    <row r="8" spans="2:13" ht="17.25">
      <c r="B8" s="243" t="s">
        <v>105</v>
      </c>
      <c r="C8" s="244"/>
      <c r="D8" s="244"/>
      <c r="E8" s="245">
        <v>898992</v>
      </c>
      <c r="F8" s="245"/>
      <c r="G8" s="245"/>
      <c r="H8" s="245"/>
      <c r="I8" s="245"/>
      <c r="J8" s="245"/>
      <c r="K8" s="245"/>
      <c r="L8" s="245"/>
      <c r="M8" s="246"/>
    </row>
    <row r="9" spans="2:13" ht="17.25">
      <c r="B9" s="243" t="s">
        <v>106</v>
      </c>
      <c r="C9" s="244"/>
      <c r="D9" s="244"/>
      <c r="E9" s="245" t="s">
        <v>247</v>
      </c>
      <c r="F9" s="245"/>
      <c r="G9" s="245"/>
      <c r="H9" s="245"/>
      <c r="I9" s="245"/>
      <c r="J9" s="245"/>
      <c r="K9" s="245"/>
      <c r="L9" s="245"/>
      <c r="M9" s="246"/>
    </row>
    <row r="10" spans="2:13" ht="16.5" customHeight="1">
      <c r="B10" s="243" t="s">
        <v>107</v>
      </c>
      <c r="C10" s="244"/>
      <c r="D10" s="244"/>
      <c r="E10" s="245" t="s">
        <v>248</v>
      </c>
      <c r="F10" s="245"/>
      <c r="G10" s="245"/>
      <c r="H10" s="245"/>
      <c r="I10" s="245"/>
      <c r="J10" s="245"/>
      <c r="K10" s="245"/>
      <c r="L10" s="245"/>
      <c r="M10" s="246"/>
    </row>
    <row r="11" spans="2:13" ht="17.25">
      <c r="B11" s="243" t="s">
        <v>108</v>
      </c>
      <c r="C11" s="244"/>
      <c r="D11" s="244"/>
      <c r="E11" s="245" t="s">
        <v>249</v>
      </c>
      <c r="F11" s="245"/>
      <c r="G11" s="245"/>
      <c r="H11" s="245"/>
      <c r="I11" s="245"/>
      <c r="J11" s="245"/>
      <c r="K11" s="245"/>
      <c r="L11" s="245"/>
      <c r="M11" s="246"/>
    </row>
    <row r="12" spans="2:13" ht="17.25">
      <c r="B12" s="243" t="s">
        <v>109</v>
      </c>
      <c r="C12" s="244"/>
      <c r="D12" s="244"/>
      <c r="E12" s="245" t="s">
        <v>250</v>
      </c>
      <c r="F12" s="245"/>
      <c r="G12" s="245"/>
      <c r="H12" s="245"/>
      <c r="I12" s="245"/>
      <c r="J12" s="245"/>
      <c r="K12" s="245"/>
      <c r="L12" s="245"/>
      <c r="M12" s="246"/>
    </row>
    <row r="13" spans="2:13" ht="17.25">
      <c r="B13" s="109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1"/>
    </row>
    <row r="14" spans="2:13" ht="19.5"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</row>
    <row r="15" spans="2:13" ht="19.5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</row>
    <row r="16" spans="2:13" ht="19.5"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</row>
    <row r="17" spans="2:13" ht="20.25">
      <c r="B17" s="248" t="s">
        <v>110</v>
      </c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</row>
    <row r="18" spans="2:13" ht="19.5"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</row>
    <row r="19" spans="2:13" ht="17.25">
      <c r="B19" s="249" t="s">
        <v>104</v>
      </c>
      <c r="C19" s="250"/>
      <c r="D19" s="250"/>
      <c r="E19" s="251" t="s">
        <v>251</v>
      </c>
      <c r="F19" s="251"/>
      <c r="G19" s="251"/>
      <c r="H19" s="251"/>
      <c r="I19" s="251"/>
      <c r="J19" s="251"/>
      <c r="K19" s="251"/>
      <c r="L19" s="251"/>
      <c r="M19" s="252"/>
    </row>
    <row r="20" spans="2:13" ht="17.25">
      <c r="B20" s="243" t="s">
        <v>106</v>
      </c>
      <c r="C20" s="244"/>
      <c r="D20" s="244"/>
      <c r="E20" s="245" t="s">
        <v>252</v>
      </c>
      <c r="F20" s="245"/>
      <c r="G20" s="245"/>
      <c r="H20" s="245"/>
      <c r="I20" s="245"/>
      <c r="J20" s="245"/>
      <c r="K20" s="245"/>
      <c r="L20" s="245"/>
      <c r="M20" s="246"/>
    </row>
    <row r="21" spans="2:13" ht="17.25">
      <c r="B21" s="243" t="s">
        <v>111</v>
      </c>
      <c r="C21" s="244"/>
      <c r="D21" s="244"/>
      <c r="E21" s="245" t="s">
        <v>253</v>
      </c>
      <c r="F21" s="245"/>
      <c r="G21" s="245"/>
      <c r="H21" s="245"/>
      <c r="I21" s="245"/>
      <c r="J21" s="245"/>
      <c r="K21" s="245"/>
      <c r="L21" s="245"/>
      <c r="M21" s="246"/>
    </row>
    <row r="22" spans="2:13" ht="17.25">
      <c r="B22" s="253" t="s">
        <v>112</v>
      </c>
      <c r="C22" s="254"/>
      <c r="D22" s="254"/>
      <c r="E22" s="255" t="s">
        <v>254</v>
      </c>
      <c r="F22" s="255"/>
      <c r="G22" s="255"/>
      <c r="H22" s="255"/>
      <c r="I22" s="255"/>
      <c r="J22" s="255"/>
      <c r="K22" s="113"/>
      <c r="L22" s="255"/>
      <c r="M22" s="256"/>
    </row>
    <row r="23" spans="2:13" ht="20.25">
      <c r="B23" s="257" t="s">
        <v>113</v>
      </c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9"/>
    </row>
    <row r="24" spans="2:13" ht="15">
      <c r="B24" s="260" t="s">
        <v>114</v>
      </c>
      <c r="C24" s="261"/>
      <c r="D24" s="262"/>
      <c r="E24" s="260" t="s">
        <v>115</v>
      </c>
      <c r="F24" s="261"/>
      <c r="G24" s="262"/>
      <c r="H24" s="260" t="s">
        <v>116</v>
      </c>
      <c r="I24" s="261"/>
      <c r="J24" s="262"/>
      <c r="K24" s="260" t="s">
        <v>117</v>
      </c>
      <c r="L24" s="261"/>
      <c r="M24" s="262"/>
    </row>
    <row r="25" spans="2:13" ht="17.25">
      <c r="B25" s="267">
        <v>14664</v>
      </c>
      <c r="C25" s="268"/>
      <c r="D25" s="269"/>
      <c r="E25" s="270" t="s">
        <v>255</v>
      </c>
      <c r="F25" s="270"/>
      <c r="G25" s="270"/>
      <c r="H25" s="271">
        <v>101.64</v>
      </c>
      <c r="I25" s="272"/>
      <c r="J25" s="273"/>
      <c r="K25" s="274">
        <v>114</v>
      </c>
      <c r="L25" s="275"/>
      <c r="M25" s="276"/>
    </row>
    <row r="26" spans="2:13" ht="17.25">
      <c r="B26" s="277"/>
      <c r="C26" s="278"/>
      <c r="D26" s="279"/>
      <c r="E26" s="278"/>
      <c r="F26" s="278"/>
      <c r="G26" s="278"/>
      <c r="H26" s="280"/>
      <c r="I26" s="281"/>
      <c r="J26" s="282"/>
      <c r="K26" s="283"/>
      <c r="L26" s="284"/>
      <c r="M26" s="285"/>
    </row>
    <row r="27" spans="2:13" ht="20.25">
      <c r="B27" s="257" t="s">
        <v>118</v>
      </c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9"/>
    </row>
    <row r="28" spans="2:13" ht="17.25"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6"/>
    </row>
    <row r="29" spans="2:13" ht="17.25">
      <c r="B29" s="117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9"/>
    </row>
    <row r="30" spans="2:13" ht="17.25">
      <c r="B30" s="117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9"/>
    </row>
    <row r="31" spans="2:13" ht="17.25">
      <c r="B31" s="117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9"/>
    </row>
    <row r="32" spans="2:13" ht="17.25"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9"/>
    </row>
    <row r="33" spans="2:13" ht="17.25">
      <c r="B33" s="120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2"/>
    </row>
    <row r="34" spans="2:13" ht="20.25">
      <c r="B34" s="257" t="s">
        <v>119</v>
      </c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9"/>
    </row>
    <row r="35" spans="2:13" ht="15">
      <c r="B35" s="260" t="s">
        <v>120</v>
      </c>
      <c r="C35" s="261"/>
      <c r="D35" s="261"/>
      <c r="E35" s="262"/>
      <c r="F35" s="260" t="s">
        <v>121</v>
      </c>
      <c r="G35" s="261"/>
      <c r="H35" s="261"/>
      <c r="I35" s="262"/>
      <c r="J35" s="260" t="s">
        <v>122</v>
      </c>
      <c r="K35" s="261"/>
      <c r="L35" s="261"/>
      <c r="M35" s="262"/>
    </row>
    <row r="36" spans="2:13" ht="15">
      <c r="B36" s="263">
        <v>14664</v>
      </c>
      <c r="C36" s="264"/>
      <c r="D36" s="264"/>
      <c r="E36" s="264"/>
      <c r="F36" s="265"/>
      <c r="G36" s="265"/>
      <c r="H36" s="265"/>
      <c r="I36" s="265"/>
      <c r="J36" s="265"/>
      <c r="K36" s="265"/>
      <c r="L36" s="265"/>
      <c r="M36" s="266"/>
    </row>
    <row r="37" spans="2:13" ht="15">
      <c r="B37" s="286"/>
      <c r="C37" s="287"/>
      <c r="D37" s="287"/>
      <c r="E37" s="287"/>
      <c r="F37" s="288"/>
      <c r="G37" s="288"/>
      <c r="H37" s="288"/>
      <c r="I37" s="288"/>
      <c r="J37" s="288"/>
      <c r="K37" s="288"/>
      <c r="L37" s="288"/>
      <c r="M37" s="289"/>
    </row>
    <row r="38" spans="2:13" ht="15">
      <c r="B38" s="290" t="s">
        <v>10</v>
      </c>
      <c r="C38" s="291"/>
      <c r="D38" s="291"/>
      <c r="E38" s="291"/>
      <c r="F38" s="292"/>
      <c r="G38" s="292"/>
      <c r="H38" s="292"/>
      <c r="I38" s="292"/>
      <c r="J38" s="292"/>
      <c r="K38" s="292"/>
      <c r="L38" s="292"/>
      <c r="M38" s="293"/>
    </row>
    <row r="39" spans="2:13" ht="20.25">
      <c r="B39" s="257" t="s">
        <v>123</v>
      </c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9"/>
    </row>
    <row r="40" spans="2:13" ht="19.5"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2:13" ht="19.5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</row>
    <row r="42" spans="2:13" ht="19.5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</row>
    <row r="43" spans="2:13" ht="19.5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</row>
    <row r="44" spans="2:13" ht="19.5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</row>
    <row r="45" spans="2:13" ht="19.5"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</row>
    <row r="46" spans="2:13" ht="19.5"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</row>
    <row r="47" spans="2:13" ht="19.5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</row>
  </sheetData>
  <mergeCells count="51">
    <mergeCell ref="B39:M39"/>
    <mergeCell ref="B37:E37"/>
    <mergeCell ref="F37:I37"/>
    <mergeCell ref="J37:M37"/>
    <mergeCell ref="B38:E38"/>
    <mergeCell ref="F38:I38"/>
    <mergeCell ref="J38:M38"/>
    <mergeCell ref="B36:E36"/>
    <mergeCell ref="F36:I36"/>
    <mergeCell ref="J36:M36"/>
    <mergeCell ref="B25:D25"/>
    <mergeCell ref="E25:G25"/>
    <mergeCell ref="H25:J25"/>
    <mergeCell ref="K25:M25"/>
    <mergeCell ref="B26:D26"/>
    <mergeCell ref="E26:G26"/>
    <mergeCell ref="H26:J26"/>
    <mergeCell ref="K26:M26"/>
    <mergeCell ref="B27:M27"/>
    <mergeCell ref="B34:M34"/>
    <mergeCell ref="B35:E35"/>
    <mergeCell ref="F35:I35"/>
    <mergeCell ref="J35:M35"/>
    <mergeCell ref="B22:D22"/>
    <mergeCell ref="E22:J22"/>
    <mergeCell ref="L22:M22"/>
    <mergeCell ref="B23:M23"/>
    <mergeCell ref="B24:D24"/>
    <mergeCell ref="E24:G24"/>
    <mergeCell ref="H24:J24"/>
    <mergeCell ref="K24:M24"/>
    <mergeCell ref="B21:D21"/>
    <mergeCell ref="E21:M21"/>
    <mergeCell ref="B10:D10"/>
    <mergeCell ref="E10:M10"/>
    <mergeCell ref="B11:D11"/>
    <mergeCell ref="E11:M11"/>
    <mergeCell ref="B12:D12"/>
    <mergeCell ref="E12:M12"/>
    <mergeCell ref="B17:M17"/>
    <mergeCell ref="B19:D19"/>
    <mergeCell ref="E19:M19"/>
    <mergeCell ref="B20:D20"/>
    <mergeCell ref="E20:M20"/>
    <mergeCell ref="B9:D9"/>
    <mergeCell ref="E9:M9"/>
    <mergeCell ref="B3:M4"/>
    <mergeCell ref="B7:D7"/>
    <mergeCell ref="E7:M7"/>
    <mergeCell ref="B8:D8"/>
    <mergeCell ref="E8:M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G47"/>
  <sheetViews>
    <sheetView topLeftCell="A13" workbookViewId="0">
      <selection activeCell="J42" sqref="J42"/>
    </sheetView>
  </sheetViews>
  <sheetFormatPr defaultColWidth="9.140625" defaultRowHeight="12.75"/>
  <cols>
    <col min="1" max="3" width="9.140625" style="154"/>
    <col min="4" max="4" width="44.5703125" style="154" customWidth="1"/>
    <col min="5" max="16384" width="9.140625" style="154"/>
  </cols>
  <sheetData>
    <row r="5" spans="4:5" ht="15">
      <c r="D5" s="165" t="s">
        <v>124</v>
      </c>
      <c r="E5" s="165" t="s">
        <v>125</v>
      </c>
    </row>
    <row r="6" spans="4:5" ht="15">
      <c r="D6" s="157" t="s">
        <v>149</v>
      </c>
      <c r="E6" s="124">
        <v>1.2</v>
      </c>
    </row>
    <row r="7" spans="4:5" ht="15">
      <c r="D7" s="157" t="s">
        <v>126</v>
      </c>
      <c r="E7" s="124">
        <v>1.1000000000000001</v>
      </c>
    </row>
    <row r="8" spans="4:5" ht="15">
      <c r="D8" s="157" t="s">
        <v>127</v>
      </c>
      <c r="E8" s="124">
        <v>1</v>
      </c>
    </row>
    <row r="9" spans="4:5" ht="15">
      <c r="D9" s="157" t="s">
        <v>128</v>
      </c>
      <c r="E9" s="124">
        <v>0.9</v>
      </c>
    </row>
    <row r="10" spans="4:5" ht="15">
      <c r="D10" s="157" t="s">
        <v>129</v>
      </c>
      <c r="E10" s="124">
        <v>0.8</v>
      </c>
    </row>
    <row r="11" spans="4:5" ht="15">
      <c r="D11" s="157" t="s">
        <v>130</v>
      </c>
      <c r="E11" s="124">
        <v>0.7</v>
      </c>
    </row>
    <row r="12" spans="4:5" ht="15">
      <c r="D12" s="158" t="s">
        <v>131</v>
      </c>
      <c r="E12" s="124">
        <v>0.6</v>
      </c>
    </row>
    <row r="13" spans="4:5">
      <c r="D13" s="154" t="s">
        <v>132</v>
      </c>
    </row>
    <row r="16" spans="4:5" ht="13.5" thickBot="1"/>
    <row r="17" spans="4:5" ht="15.75" thickBot="1">
      <c r="D17" s="166" t="s">
        <v>133</v>
      </c>
      <c r="E17" s="167" t="s">
        <v>54</v>
      </c>
    </row>
    <row r="18" spans="4:5" ht="15">
      <c r="D18" s="159" t="s">
        <v>134</v>
      </c>
      <c r="E18" s="160">
        <v>1.2</v>
      </c>
    </row>
    <row r="19" spans="4:5" ht="15">
      <c r="D19" s="159" t="s">
        <v>135</v>
      </c>
      <c r="E19" s="160">
        <v>1.1000000000000001</v>
      </c>
    </row>
    <row r="20" spans="4:5" ht="15">
      <c r="D20" s="159" t="s">
        <v>136</v>
      </c>
      <c r="E20" s="160">
        <v>1</v>
      </c>
    </row>
    <row r="21" spans="4:5" ht="15">
      <c r="D21" s="161" t="s">
        <v>137</v>
      </c>
      <c r="E21" s="160">
        <v>0.9</v>
      </c>
    </row>
    <row r="22" spans="4:5" ht="15">
      <c r="D22" s="159" t="s">
        <v>138</v>
      </c>
      <c r="E22" s="160">
        <v>0.8</v>
      </c>
    </row>
    <row r="23" spans="4:5" ht="15.75" thickBot="1">
      <c r="D23" s="162" t="s">
        <v>139</v>
      </c>
      <c r="E23" s="163">
        <v>0.7</v>
      </c>
    </row>
    <row r="25" spans="4:5">
      <c r="D25" s="164" t="s">
        <v>140</v>
      </c>
    </row>
    <row r="26" spans="4:5">
      <c r="D26" s="164" t="s">
        <v>141</v>
      </c>
    </row>
    <row r="29" spans="4:5" ht="15">
      <c r="D29" s="165" t="s">
        <v>142</v>
      </c>
      <c r="E29" s="165" t="s">
        <v>125</v>
      </c>
    </row>
    <row r="30" spans="4:5" ht="15">
      <c r="D30" s="157" t="s">
        <v>143</v>
      </c>
      <c r="E30" s="124">
        <v>1.2</v>
      </c>
    </row>
    <row r="31" spans="4:5" ht="15">
      <c r="D31" s="157" t="s">
        <v>144</v>
      </c>
      <c r="E31" s="124">
        <v>1.1000000000000001</v>
      </c>
    </row>
    <row r="32" spans="4:5" ht="15">
      <c r="D32" s="157" t="s">
        <v>145</v>
      </c>
      <c r="E32" s="124">
        <v>1</v>
      </c>
    </row>
    <row r="33" spans="4:7" ht="15">
      <c r="D33" s="157" t="s">
        <v>146</v>
      </c>
      <c r="E33" s="124">
        <v>0.9</v>
      </c>
    </row>
    <row r="34" spans="4:7" ht="15">
      <c r="D34" s="157" t="s">
        <v>147</v>
      </c>
      <c r="E34" s="124">
        <v>0.8</v>
      </c>
    </row>
    <row r="35" spans="4:7" ht="15">
      <c r="D35" s="157" t="s">
        <v>148</v>
      </c>
      <c r="E35" s="124">
        <v>0.7</v>
      </c>
    </row>
    <row r="40" spans="4:7" ht="15" customHeight="1">
      <c r="D40" s="294" t="s">
        <v>257</v>
      </c>
      <c r="E40" s="295" t="s">
        <v>258</v>
      </c>
      <c r="F40" s="295"/>
      <c r="G40" s="295"/>
    </row>
    <row r="41" spans="4:7" ht="30">
      <c r="D41" s="294"/>
      <c r="E41" s="239" t="s">
        <v>259</v>
      </c>
      <c r="F41" s="239" t="s">
        <v>260</v>
      </c>
      <c r="G41" s="239" t="s">
        <v>125</v>
      </c>
    </row>
    <row r="42" spans="4:7" ht="60">
      <c r="D42" s="240" t="s">
        <v>261</v>
      </c>
      <c r="E42" s="240" t="s">
        <v>262</v>
      </c>
      <c r="F42" s="240" t="s">
        <v>263</v>
      </c>
      <c r="G42" s="241">
        <v>1.2</v>
      </c>
    </row>
    <row r="43" spans="4:7" ht="90">
      <c r="D43" s="240" t="s">
        <v>264</v>
      </c>
      <c r="E43" s="240" t="s">
        <v>265</v>
      </c>
      <c r="F43" s="240" t="s">
        <v>263</v>
      </c>
      <c r="G43" s="241">
        <v>1.1000000000000001</v>
      </c>
    </row>
    <row r="44" spans="4:7" ht="45">
      <c r="D44" s="240" t="s">
        <v>172</v>
      </c>
      <c r="E44" s="240" t="s">
        <v>266</v>
      </c>
      <c r="F44" s="240" t="s">
        <v>263</v>
      </c>
      <c r="G44" s="241">
        <v>1</v>
      </c>
    </row>
    <row r="45" spans="4:7" ht="105">
      <c r="D45" s="240" t="s">
        <v>267</v>
      </c>
      <c r="E45" s="240" t="s">
        <v>268</v>
      </c>
      <c r="F45" s="240" t="s">
        <v>269</v>
      </c>
      <c r="G45" s="241">
        <v>0.9</v>
      </c>
    </row>
    <row r="46" spans="4:7" ht="75">
      <c r="D46" s="240" t="s">
        <v>270</v>
      </c>
      <c r="E46" s="240" t="s">
        <v>271</v>
      </c>
      <c r="F46" s="240"/>
      <c r="G46" s="241">
        <v>0.8</v>
      </c>
    </row>
    <row r="47" spans="4:7" ht="90">
      <c r="D47" s="240" t="s">
        <v>272</v>
      </c>
      <c r="E47" s="240" t="s">
        <v>273</v>
      </c>
      <c r="F47" s="240" t="s">
        <v>274</v>
      </c>
      <c r="G47" s="241">
        <v>0.7</v>
      </c>
    </row>
  </sheetData>
  <mergeCells count="2">
    <mergeCell ref="D40:D41"/>
    <mergeCell ref="E40:G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20"/>
  <sheetViews>
    <sheetView tabSelected="1" zoomScaleNormal="100" workbookViewId="0">
      <selection activeCell="C16" sqref="C16:I16"/>
    </sheetView>
  </sheetViews>
  <sheetFormatPr defaultColWidth="9.140625" defaultRowHeight="12.75"/>
  <cols>
    <col min="1" max="4" width="9.140625" style="154"/>
    <col min="5" max="5" width="15" style="154" customWidth="1"/>
    <col min="6" max="6" width="16.28515625" style="154" customWidth="1"/>
    <col min="7" max="7" width="8.28515625" style="154" bestFit="1" customWidth="1"/>
    <col min="8" max="9" width="9.140625" style="154"/>
    <col min="10" max="10" width="34.42578125" style="154" customWidth="1"/>
    <col min="11" max="16384" width="9.140625" style="154"/>
  </cols>
  <sheetData>
    <row r="4" spans="3:10">
      <c r="C4" s="296" t="str">
        <f>C16</f>
        <v>MATRÍCULA 11.173</v>
      </c>
      <c r="D4" s="296"/>
      <c r="E4" s="296"/>
      <c r="F4" s="296"/>
      <c r="G4" s="296"/>
      <c r="H4" s="296"/>
      <c r="I4" s="296"/>
      <c r="J4" s="296"/>
    </row>
    <row r="5" spans="3:10">
      <c r="C5" s="310" t="s">
        <v>156</v>
      </c>
      <c r="D5" s="310"/>
      <c r="E5" s="310" t="s">
        <v>157</v>
      </c>
      <c r="F5" s="310"/>
      <c r="G5" s="310" t="s">
        <v>158</v>
      </c>
      <c r="H5" s="310"/>
      <c r="I5" s="311" t="s">
        <v>159</v>
      </c>
      <c r="J5" s="311"/>
    </row>
    <row r="6" spans="3:10">
      <c r="C6" s="302">
        <v>101.64</v>
      </c>
      <c r="D6" s="302"/>
      <c r="E6" s="300" t="s">
        <v>229</v>
      </c>
      <c r="F6" s="300"/>
      <c r="G6" s="300" t="s">
        <v>229</v>
      </c>
      <c r="H6" s="300"/>
      <c r="I6" s="301" t="s">
        <v>229</v>
      </c>
      <c r="J6" s="301"/>
    </row>
    <row r="7" spans="3:10">
      <c r="C7" s="296" t="s">
        <v>160</v>
      </c>
      <c r="D7" s="296"/>
      <c r="E7" s="296"/>
      <c r="F7" s="296"/>
      <c r="G7" s="296"/>
      <c r="H7" s="296"/>
      <c r="I7" s="296"/>
      <c r="J7" s="296"/>
    </row>
    <row r="8" spans="3:10">
      <c r="C8" s="297" t="s">
        <v>156</v>
      </c>
      <c r="D8" s="297"/>
      <c r="E8" s="297" t="s">
        <v>230</v>
      </c>
      <c r="F8" s="297"/>
      <c r="G8" s="297" t="s">
        <v>231</v>
      </c>
      <c r="H8" s="297"/>
      <c r="I8" s="298" t="s">
        <v>232</v>
      </c>
      <c r="J8" s="298"/>
    </row>
    <row r="9" spans="3:10">
      <c r="C9" s="302">
        <v>112.4828</v>
      </c>
      <c r="D9" s="302"/>
      <c r="E9" s="300" t="s">
        <v>242</v>
      </c>
      <c r="F9" s="300"/>
      <c r="G9" s="309">
        <v>80</v>
      </c>
      <c r="H9" s="309"/>
      <c r="I9" s="301">
        <v>1.4059999999999999</v>
      </c>
      <c r="J9" s="301"/>
    </row>
    <row r="10" spans="3:10">
      <c r="C10" s="296" t="s">
        <v>161</v>
      </c>
      <c r="D10" s="296"/>
      <c r="E10" s="296"/>
      <c r="F10" s="296"/>
      <c r="G10" s="296"/>
      <c r="H10" s="296"/>
      <c r="I10" s="296"/>
      <c r="J10" s="296"/>
    </row>
    <row r="11" spans="3:10">
      <c r="C11" s="297" t="s">
        <v>156</v>
      </c>
      <c r="D11" s="297"/>
      <c r="E11" s="297" t="s">
        <v>157</v>
      </c>
      <c r="F11" s="297"/>
      <c r="G11" s="297" t="s">
        <v>158</v>
      </c>
      <c r="H11" s="297"/>
      <c r="I11" s="298" t="s">
        <v>237</v>
      </c>
      <c r="J11" s="298"/>
    </row>
    <row r="12" spans="3:10">
      <c r="C12" s="302">
        <v>112.5586</v>
      </c>
      <c r="D12" s="302"/>
      <c r="E12" s="300">
        <v>40.103200000000001</v>
      </c>
      <c r="F12" s="300"/>
      <c r="G12" s="300">
        <v>3.2536</v>
      </c>
      <c r="H12" s="300"/>
      <c r="I12" s="301">
        <v>74.827200000000005</v>
      </c>
      <c r="J12" s="301"/>
    </row>
    <row r="13" spans="3:10">
      <c r="C13" s="297" t="s">
        <v>166</v>
      </c>
      <c r="D13" s="297"/>
      <c r="E13" s="300" t="s">
        <v>233</v>
      </c>
      <c r="F13" s="300"/>
      <c r="G13" s="297" t="s">
        <v>167</v>
      </c>
      <c r="H13" s="297"/>
      <c r="I13" s="301" t="s">
        <v>238</v>
      </c>
      <c r="J13" s="301"/>
    </row>
    <row r="16" spans="3:10">
      <c r="C16" s="483" t="s">
        <v>295</v>
      </c>
      <c r="D16" s="484"/>
      <c r="E16" s="484"/>
      <c r="F16" s="484"/>
      <c r="G16" s="484"/>
      <c r="H16" s="484"/>
      <c r="I16" s="484"/>
    </row>
    <row r="17" spans="3:10">
      <c r="C17" s="296" t="s">
        <v>162</v>
      </c>
      <c r="D17" s="296"/>
      <c r="E17" s="296"/>
      <c r="F17" s="296" t="s">
        <v>163</v>
      </c>
      <c r="G17" s="296"/>
      <c r="H17" s="296" t="s">
        <v>165</v>
      </c>
      <c r="I17" s="296"/>
      <c r="J17" s="155"/>
    </row>
    <row r="18" spans="3:10">
      <c r="C18" s="305" t="s">
        <v>256</v>
      </c>
      <c r="D18" s="305"/>
      <c r="E18" s="305"/>
      <c r="F18" s="307">
        <v>63</v>
      </c>
      <c r="G18" s="308"/>
      <c r="H18" s="299">
        <f>F18/C6</f>
        <v>0.6198347107438017</v>
      </c>
      <c r="I18" s="297"/>
      <c r="J18" s="156"/>
    </row>
    <row r="19" spans="3:10">
      <c r="C19" s="306" t="s">
        <v>226</v>
      </c>
      <c r="D19" s="306"/>
      <c r="E19" s="306"/>
      <c r="F19" s="309">
        <v>38.64</v>
      </c>
      <c r="G19" s="309"/>
      <c r="H19" s="299">
        <f>F19/C6</f>
        <v>0.38016528925619836</v>
      </c>
      <c r="I19" s="297"/>
    </row>
    <row r="20" spans="3:10" ht="15">
      <c r="C20" s="297" t="s">
        <v>164</v>
      </c>
      <c r="D20" s="297"/>
      <c r="E20" s="297"/>
      <c r="F20" s="303">
        <f>SUM(F18:G19)</f>
        <v>101.64</v>
      </c>
      <c r="G20" s="303"/>
      <c r="H20" s="304">
        <f>SUM(H18:I19)</f>
        <v>1</v>
      </c>
      <c r="I20" s="297"/>
    </row>
  </sheetData>
  <mergeCells count="44">
    <mergeCell ref="C16:I16"/>
    <mergeCell ref="C6:D6"/>
    <mergeCell ref="E6:F6"/>
    <mergeCell ref="G6:H6"/>
    <mergeCell ref="I6:J6"/>
    <mergeCell ref="C9:D9"/>
    <mergeCell ref="E9:F9"/>
    <mergeCell ref="G9:H9"/>
    <mergeCell ref="I9:J9"/>
    <mergeCell ref="C10:J10"/>
    <mergeCell ref="C7:J7"/>
    <mergeCell ref="C8:D8"/>
    <mergeCell ref="E8:F8"/>
    <mergeCell ref="G8:H8"/>
    <mergeCell ref="I8:J8"/>
    <mergeCell ref="C4:J4"/>
    <mergeCell ref="C5:D5"/>
    <mergeCell ref="E5:F5"/>
    <mergeCell ref="G5:H5"/>
    <mergeCell ref="I5:J5"/>
    <mergeCell ref="H19:I19"/>
    <mergeCell ref="C20:E20"/>
    <mergeCell ref="F20:G20"/>
    <mergeCell ref="H20:I20"/>
    <mergeCell ref="C18:E18"/>
    <mergeCell ref="C19:E19"/>
    <mergeCell ref="F18:G18"/>
    <mergeCell ref="F19:G19"/>
    <mergeCell ref="C17:E17"/>
    <mergeCell ref="F17:G17"/>
    <mergeCell ref="G11:H11"/>
    <mergeCell ref="I11:J11"/>
    <mergeCell ref="H18:I18"/>
    <mergeCell ref="C13:D13"/>
    <mergeCell ref="E13:F13"/>
    <mergeCell ref="G13:H13"/>
    <mergeCell ref="I13:J13"/>
    <mergeCell ref="H17:I17"/>
    <mergeCell ref="C12:D12"/>
    <mergeCell ref="E12:F12"/>
    <mergeCell ref="G12:H12"/>
    <mergeCell ref="I12:J12"/>
    <mergeCell ref="C11:D11"/>
    <mergeCell ref="E11:F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43"/>
  <sheetViews>
    <sheetView zoomScale="90" zoomScaleNormal="90" workbookViewId="0">
      <selection activeCell="E11" sqref="E11:F13"/>
    </sheetView>
  </sheetViews>
  <sheetFormatPr defaultColWidth="9.140625" defaultRowHeight="12.75"/>
  <cols>
    <col min="1" max="4" width="9.140625" style="154"/>
    <col min="5" max="5" width="13.7109375" style="154" bestFit="1" customWidth="1"/>
    <col min="6" max="6" width="19.5703125" style="154" customWidth="1"/>
    <col min="7" max="7" width="13.7109375" style="154" customWidth="1"/>
    <col min="8" max="8" width="6.5703125" style="154" customWidth="1"/>
    <col min="9" max="9" width="14.85546875" style="154" customWidth="1"/>
    <col min="10" max="13" width="9.140625" style="154"/>
    <col min="14" max="14" width="16.140625" style="154" customWidth="1"/>
    <col min="15" max="16384" width="9.140625" style="154"/>
  </cols>
  <sheetData>
    <row r="3" spans="2:11" ht="15">
      <c r="B3" s="337" t="s">
        <v>93</v>
      </c>
      <c r="C3" s="337"/>
      <c r="D3" s="337"/>
      <c r="E3" s="337"/>
      <c r="F3" s="337"/>
      <c r="G3" s="337"/>
      <c r="H3" s="337"/>
      <c r="I3" s="337"/>
    </row>
    <row r="4" spans="2:11" ht="15">
      <c r="B4" s="338" t="s">
        <v>239</v>
      </c>
      <c r="C4" s="339"/>
      <c r="D4" s="339"/>
      <c r="E4" s="342" t="s">
        <v>276</v>
      </c>
      <c r="F4" s="374"/>
      <c r="G4" s="168" t="s">
        <v>169</v>
      </c>
      <c r="H4" s="375" t="s">
        <v>277</v>
      </c>
      <c r="I4" s="376"/>
    </row>
    <row r="5" spans="2:11" ht="15">
      <c r="B5" s="332" t="s">
        <v>170</v>
      </c>
      <c r="C5" s="326"/>
      <c r="D5" s="326"/>
      <c r="E5" s="342" t="s">
        <v>278</v>
      </c>
      <c r="F5" s="374"/>
      <c r="G5" s="168" t="s">
        <v>171</v>
      </c>
      <c r="H5" s="377" t="s">
        <v>172</v>
      </c>
      <c r="I5" s="373"/>
    </row>
    <row r="6" spans="2:11" ht="15">
      <c r="B6" s="332" t="s">
        <v>173</v>
      </c>
      <c r="C6" s="326"/>
      <c r="D6" s="326"/>
      <c r="E6" s="371">
        <v>319.44639999999998</v>
      </c>
      <c r="F6" s="371"/>
      <c r="G6" s="168" t="s">
        <v>174</v>
      </c>
      <c r="H6" s="372" t="s">
        <v>193</v>
      </c>
      <c r="I6" s="373"/>
    </row>
    <row r="7" spans="2:11" ht="15">
      <c r="B7" s="224"/>
      <c r="C7" s="326" t="s">
        <v>179</v>
      </c>
      <c r="D7" s="326"/>
      <c r="E7" s="330" t="s">
        <v>243</v>
      </c>
      <c r="F7" s="374"/>
      <c r="G7" s="168" t="s">
        <v>68</v>
      </c>
      <c r="H7" s="328">
        <v>45294</v>
      </c>
      <c r="I7" s="329"/>
    </row>
    <row r="8" spans="2:11" ht="15">
      <c r="B8" s="224"/>
      <c r="C8" s="326" t="s">
        <v>227</v>
      </c>
      <c r="D8" s="326"/>
      <c r="E8" s="378">
        <v>1499</v>
      </c>
      <c r="F8" s="374"/>
      <c r="G8" s="168" t="s">
        <v>180</v>
      </c>
      <c r="H8" s="374"/>
      <c r="I8" s="373"/>
    </row>
    <row r="9" spans="2:11" ht="15">
      <c r="B9" s="318" t="s">
        <v>181</v>
      </c>
      <c r="C9" s="319"/>
      <c r="D9" s="319"/>
      <c r="E9" s="319"/>
      <c r="F9" s="319"/>
      <c r="G9" s="319"/>
      <c r="H9" s="319"/>
      <c r="I9" s="320"/>
    </row>
    <row r="10" spans="2:11" ht="15">
      <c r="B10" s="321" t="s">
        <v>182</v>
      </c>
      <c r="C10" s="322"/>
      <c r="D10" s="322"/>
      <c r="E10" s="171" t="s">
        <v>183</v>
      </c>
      <c r="F10" s="171" t="s">
        <v>184</v>
      </c>
      <c r="G10" s="322" t="s">
        <v>185</v>
      </c>
      <c r="H10" s="322"/>
      <c r="I10" s="225"/>
    </row>
    <row r="11" spans="2:11" ht="15">
      <c r="B11" s="323" t="s">
        <v>228</v>
      </c>
      <c r="C11" s="369"/>
      <c r="D11" s="369"/>
      <c r="E11" s="226">
        <f>E6-E12</f>
        <v>262.92419999999998</v>
      </c>
      <c r="F11" s="227">
        <f>E11/E6</f>
        <v>0.8230620222985765</v>
      </c>
      <c r="G11" s="370">
        <v>1</v>
      </c>
      <c r="H11" s="370"/>
      <c r="I11" s="225"/>
    </row>
    <row r="12" spans="2:11" ht="15">
      <c r="B12" s="379" t="s">
        <v>186</v>
      </c>
      <c r="C12" s="369"/>
      <c r="D12" s="369"/>
      <c r="E12" s="226">
        <f>28.486+28.0362</f>
        <v>56.522199999999998</v>
      </c>
      <c r="F12" s="227">
        <f>E12/E6</f>
        <v>0.17693797770142347</v>
      </c>
      <c r="G12" s="370">
        <v>0.6</v>
      </c>
      <c r="H12" s="370"/>
      <c r="I12" s="225"/>
    </row>
    <row r="13" spans="2:11" ht="15">
      <c r="B13" s="315" t="s">
        <v>164</v>
      </c>
      <c r="C13" s="316"/>
      <c r="D13" s="316"/>
      <c r="E13" s="173">
        <f>SUM(E11:E12)</f>
        <v>319.44639999999998</v>
      </c>
      <c r="F13" s="174">
        <f>SUM(F11:F12)</f>
        <v>1</v>
      </c>
      <c r="G13" s="317">
        <f>(F12*G12)+F11*G11</f>
        <v>0.9292248089194306</v>
      </c>
      <c r="H13" s="317"/>
      <c r="I13" s="228"/>
    </row>
    <row r="14" spans="2:11" ht="15">
      <c r="B14" s="171"/>
      <c r="C14" s="171"/>
      <c r="D14" s="171"/>
      <c r="E14" s="208"/>
      <c r="F14" s="209"/>
      <c r="G14" s="210"/>
      <c r="H14" s="210"/>
      <c r="I14" s="211"/>
    </row>
    <row r="15" spans="2:11" ht="15">
      <c r="B15" s="337" t="s">
        <v>187</v>
      </c>
      <c r="C15" s="337"/>
      <c r="D15" s="337"/>
      <c r="E15" s="337"/>
      <c r="F15" s="337"/>
      <c r="G15" s="337"/>
      <c r="H15" s="337"/>
      <c r="I15" s="337"/>
    </row>
    <row r="16" spans="2:11" ht="15">
      <c r="B16" s="338" t="s">
        <v>168</v>
      </c>
      <c r="C16" s="339"/>
      <c r="D16" s="339"/>
      <c r="E16" s="340" t="s">
        <v>280</v>
      </c>
      <c r="F16" s="340"/>
      <c r="G16" s="168" t="s">
        <v>169</v>
      </c>
      <c r="H16" s="340" t="s">
        <v>281</v>
      </c>
      <c r="I16" s="341"/>
      <c r="K16" s="212" t="s">
        <v>279</v>
      </c>
    </row>
    <row r="17" spans="2:11" ht="15">
      <c r="B17" s="332" t="s">
        <v>170</v>
      </c>
      <c r="C17" s="326"/>
      <c r="D17" s="326"/>
      <c r="E17" s="340" t="s">
        <v>278</v>
      </c>
      <c r="F17" s="340"/>
      <c r="G17" s="168" t="s">
        <v>171</v>
      </c>
      <c r="H17" s="340" t="s">
        <v>172</v>
      </c>
      <c r="I17" s="341"/>
    </row>
    <row r="18" spans="2:11" ht="15">
      <c r="B18" s="332" t="s">
        <v>173</v>
      </c>
      <c r="C18" s="326"/>
      <c r="D18" s="326"/>
      <c r="E18" s="360">
        <v>1780.9</v>
      </c>
      <c r="F18" s="360"/>
      <c r="G18" s="168" t="s">
        <v>174</v>
      </c>
      <c r="H18" s="340" t="s">
        <v>193</v>
      </c>
      <c r="I18" s="341"/>
      <c r="K18" s="237"/>
    </row>
    <row r="19" spans="2:11" ht="15">
      <c r="B19" s="169"/>
      <c r="C19" s="326" t="s">
        <v>175</v>
      </c>
      <c r="D19" s="326"/>
      <c r="E19" s="361">
        <v>31000000</v>
      </c>
      <c r="F19" s="361"/>
      <c r="G19" s="168" t="s">
        <v>176</v>
      </c>
      <c r="H19" s="362">
        <f>E19/E18</f>
        <v>17406.929080801841</v>
      </c>
      <c r="I19" s="363"/>
    </row>
    <row r="20" spans="2:11" ht="15">
      <c r="B20" s="170"/>
      <c r="C20" s="326" t="s">
        <v>177</v>
      </c>
      <c r="D20" s="326"/>
      <c r="E20" s="340" t="s">
        <v>178</v>
      </c>
      <c r="F20" s="340"/>
      <c r="G20" s="168" t="s">
        <v>68</v>
      </c>
      <c r="H20" s="328">
        <v>45294</v>
      </c>
      <c r="I20" s="329"/>
    </row>
    <row r="21" spans="2:11" ht="15">
      <c r="B21" s="170"/>
      <c r="C21" s="326" t="s">
        <v>179</v>
      </c>
      <c r="D21" s="326"/>
      <c r="E21" s="340" t="s">
        <v>234</v>
      </c>
      <c r="F21" s="340"/>
      <c r="G21" s="168" t="s">
        <v>180</v>
      </c>
      <c r="H21" s="358"/>
      <c r="I21" s="359"/>
    </row>
    <row r="22" spans="2:11" ht="15">
      <c r="B22" s="318" t="s">
        <v>181</v>
      </c>
      <c r="C22" s="319"/>
      <c r="D22" s="319"/>
      <c r="E22" s="319"/>
      <c r="F22" s="319"/>
      <c r="G22" s="319"/>
      <c r="H22" s="319"/>
      <c r="I22" s="320"/>
    </row>
    <row r="23" spans="2:11" ht="15">
      <c r="B23" s="321" t="s">
        <v>182</v>
      </c>
      <c r="C23" s="322"/>
      <c r="D23" s="322"/>
      <c r="E23" s="171" t="s">
        <v>183</v>
      </c>
      <c r="F23" s="171" t="s">
        <v>184</v>
      </c>
      <c r="G23" s="322" t="s">
        <v>185</v>
      </c>
      <c r="H23" s="322"/>
      <c r="I23" s="172"/>
    </row>
    <row r="24" spans="2:11" ht="15">
      <c r="B24" s="323" t="s">
        <v>228</v>
      </c>
      <c r="C24" s="369"/>
      <c r="D24" s="369"/>
      <c r="E24" s="221">
        <f>E18-E25</f>
        <v>1068.54</v>
      </c>
      <c r="F24" s="222">
        <f xml:space="preserve"> E24/E18</f>
        <v>0.6</v>
      </c>
      <c r="G24" s="356">
        <v>1</v>
      </c>
      <c r="H24" s="356"/>
      <c r="I24" s="223"/>
    </row>
    <row r="25" spans="2:11" ht="15">
      <c r="B25" s="357" t="s">
        <v>186</v>
      </c>
      <c r="C25" s="355"/>
      <c r="D25" s="355"/>
      <c r="E25" s="221">
        <f>E18*0.4</f>
        <v>712.36000000000013</v>
      </c>
      <c r="F25" s="222">
        <f xml:space="preserve"> E25/E18</f>
        <v>0.40000000000000008</v>
      </c>
      <c r="G25" s="356">
        <v>0.6</v>
      </c>
      <c r="H25" s="356"/>
      <c r="I25" s="223"/>
    </row>
    <row r="26" spans="2:11" ht="15">
      <c r="B26" s="315" t="s">
        <v>164</v>
      </c>
      <c r="C26" s="316"/>
      <c r="D26" s="316"/>
      <c r="E26" s="173">
        <f>SUM(E24:E25)</f>
        <v>1780.9</v>
      </c>
      <c r="F26" s="174">
        <f>SUM(F24:F25)</f>
        <v>1</v>
      </c>
      <c r="G26" s="317">
        <f>F24*G24+F25*G25</f>
        <v>0.84000000000000008</v>
      </c>
      <c r="H26" s="317"/>
      <c r="I26" s="175"/>
    </row>
    <row r="27" spans="2:11" ht="15">
      <c r="B27" s="176"/>
      <c r="C27" s="176"/>
      <c r="D27" s="176"/>
      <c r="E27" s="176"/>
      <c r="F27" s="176"/>
      <c r="G27" s="176"/>
      <c r="H27" s="176"/>
      <c r="I27" s="176"/>
    </row>
    <row r="28" spans="2:11" ht="15">
      <c r="B28" s="337" t="s">
        <v>188</v>
      </c>
      <c r="C28" s="337"/>
      <c r="D28" s="337"/>
      <c r="E28" s="337"/>
      <c r="F28" s="337"/>
      <c r="G28" s="337"/>
      <c r="H28" s="337"/>
      <c r="I28" s="337"/>
    </row>
    <row r="29" spans="2:11" ht="14.45" customHeight="1">
      <c r="B29" s="338" t="s">
        <v>168</v>
      </c>
      <c r="C29" s="339"/>
      <c r="D29" s="339"/>
      <c r="E29" s="340" t="s">
        <v>280</v>
      </c>
      <c r="F29" s="340"/>
      <c r="G29" s="168" t="s">
        <v>169</v>
      </c>
      <c r="H29" s="340" t="s">
        <v>281</v>
      </c>
      <c r="I29" s="341"/>
      <c r="J29" s="212"/>
      <c r="K29" s="212" t="s">
        <v>282</v>
      </c>
    </row>
    <row r="30" spans="2:11" ht="15">
      <c r="B30" s="332" t="s">
        <v>170</v>
      </c>
      <c r="C30" s="326"/>
      <c r="D30" s="326"/>
      <c r="E30" s="340" t="s">
        <v>278</v>
      </c>
      <c r="F30" s="340"/>
      <c r="G30" s="168" t="s">
        <v>171</v>
      </c>
      <c r="H30" s="340" t="s">
        <v>172</v>
      </c>
      <c r="I30" s="341"/>
    </row>
    <row r="31" spans="2:11" ht="15">
      <c r="B31" s="332" t="s">
        <v>173</v>
      </c>
      <c r="C31" s="326"/>
      <c r="D31" s="326"/>
      <c r="E31" s="360">
        <v>508.2</v>
      </c>
      <c r="F31" s="360"/>
      <c r="G31" s="168" t="s">
        <v>174</v>
      </c>
      <c r="H31" s="340" t="s">
        <v>33</v>
      </c>
      <c r="I31" s="341"/>
      <c r="K31" s="237"/>
    </row>
    <row r="32" spans="2:11" ht="15">
      <c r="B32" s="169"/>
      <c r="C32" s="326" t="s">
        <v>175</v>
      </c>
      <c r="D32" s="326"/>
      <c r="E32" s="361">
        <v>8400000</v>
      </c>
      <c r="F32" s="361"/>
      <c r="G32" s="168" t="s">
        <v>176</v>
      </c>
      <c r="H32" s="362">
        <f>E32/E31</f>
        <v>16528.92561983471</v>
      </c>
      <c r="I32" s="363"/>
    </row>
    <row r="33" spans="2:11" ht="15">
      <c r="B33" s="170"/>
      <c r="C33" s="326" t="s">
        <v>177</v>
      </c>
      <c r="D33" s="326"/>
      <c r="E33" s="340" t="s">
        <v>178</v>
      </c>
      <c r="F33" s="340"/>
      <c r="G33" s="168" t="s">
        <v>68</v>
      </c>
      <c r="H33" s="328">
        <v>45294</v>
      </c>
      <c r="I33" s="329"/>
    </row>
    <row r="34" spans="2:11" ht="15">
      <c r="B34" s="170"/>
      <c r="C34" s="326" t="s">
        <v>179</v>
      </c>
      <c r="D34" s="326"/>
      <c r="E34" s="340" t="s">
        <v>244</v>
      </c>
      <c r="F34" s="340"/>
      <c r="G34" s="168" t="s">
        <v>180</v>
      </c>
      <c r="H34" s="358"/>
      <c r="I34" s="359"/>
    </row>
    <row r="35" spans="2:11" ht="15">
      <c r="B35" s="318" t="s">
        <v>181</v>
      </c>
      <c r="C35" s="319"/>
      <c r="D35" s="319"/>
      <c r="E35" s="319"/>
      <c r="F35" s="319"/>
      <c r="G35" s="319"/>
      <c r="H35" s="319"/>
      <c r="I35" s="320"/>
    </row>
    <row r="36" spans="2:11" ht="15">
      <c r="B36" s="367" t="s">
        <v>182</v>
      </c>
      <c r="C36" s="368"/>
      <c r="D36" s="368"/>
      <c r="E36" s="191" t="s">
        <v>183</v>
      </c>
      <c r="F36" s="191" t="s">
        <v>184</v>
      </c>
      <c r="G36" s="368" t="s">
        <v>185</v>
      </c>
      <c r="H36" s="368"/>
      <c r="I36" s="190"/>
    </row>
    <row r="37" spans="2:11" s="192" customFormat="1" ht="15">
      <c r="B37" s="219"/>
      <c r="C37" s="236" t="s">
        <v>228</v>
      </c>
      <c r="D37" s="220"/>
      <c r="E37" s="221">
        <f>E31-E38</f>
        <v>315.084</v>
      </c>
      <c r="F37" s="222">
        <f>E37/E31</f>
        <v>0.62</v>
      </c>
      <c r="G37" s="356">
        <v>1</v>
      </c>
      <c r="H37" s="356"/>
      <c r="I37" s="223"/>
    </row>
    <row r="38" spans="2:11" s="192" customFormat="1" ht="15">
      <c r="B38" s="357" t="s">
        <v>186</v>
      </c>
      <c r="C38" s="355"/>
      <c r="D38" s="355"/>
      <c r="E38" s="221">
        <f>E31*0.38</f>
        <v>193.11599999999999</v>
      </c>
      <c r="F38" s="222">
        <f xml:space="preserve"> E38/E31</f>
        <v>0.38</v>
      </c>
      <c r="G38" s="356">
        <v>0.6</v>
      </c>
      <c r="H38" s="356"/>
      <c r="I38" s="223"/>
    </row>
    <row r="39" spans="2:11" ht="15">
      <c r="B39" s="364" t="s">
        <v>164</v>
      </c>
      <c r="C39" s="365"/>
      <c r="D39" s="365"/>
      <c r="E39" s="194">
        <f>SUM(E37:E38)</f>
        <v>508.2</v>
      </c>
      <c r="F39" s="193">
        <f>SUM(F37:F38)</f>
        <v>1</v>
      </c>
      <c r="G39" s="366">
        <f>F38*G38+F37*G37</f>
        <v>0.84799999999999998</v>
      </c>
      <c r="H39" s="366"/>
      <c r="I39" s="175"/>
    </row>
    <row r="40" spans="2:11" ht="15">
      <c r="B40" s="176"/>
      <c r="C40" s="176"/>
      <c r="D40" s="176"/>
      <c r="E40" s="176"/>
      <c r="F40" s="176"/>
      <c r="G40" s="176"/>
      <c r="H40" s="176"/>
      <c r="I40" s="176"/>
    </row>
    <row r="41" spans="2:11" ht="15">
      <c r="B41" s="337" t="s">
        <v>189</v>
      </c>
      <c r="C41" s="337"/>
      <c r="D41" s="337"/>
      <c r="E41" s="337"/>
      <c r="F41" s="337"/>
      <c r="G41" s="337"/>
      <c r="H41" s="337"/>
      <c r="I41" s="337"/>
      <c r="K41" s="212"/>
    </row>
    <row r="42" spans="2:11" ht="12.75" customHeight="1">
      <c r="B42" s="338" t="s">
        <v>168</v>
      </c>
      <c r="C42" s="339"/>
      <c r="D42" s="339"/>
      <c r="E42" s="340" t="s">
        <v>284</v>
      </c>
      <c r="F42" s="340"/>
      <c r="G42" s="168" t="s">
        <v>169</v>
      </c>
      <c r="H42" s="340" t="s">
        <v>285</v>
      </c>
      <c r="I42" s="341"/>
      <c r="J42" s="212"/>
      <c r="K42" s="212" t="s">
        <v>283</v>
      </c>
    </row>
    <row r="43" spans="2:11" ht="15">
      <c r="B43" s="332" t="s">
        <v>170</v>
      </c>
      <c r="C43" s="326"/>
      <c r="D43" s="326"/>
      <c r="E43" s="340" t="s">
        <v>286</v>
      </c>
      <c r="F43" s="340"/>
      <c r="G43" s="168" t="s">
        <v>171</v>
      </c>
      <c r="H43" s="340" t="s">
        <v>172</v>
      </c>
      <c r="I43" s="341"/>
    </row>
    <row r="44" spans="2:11" ht="15">
      <c r="B44" s="332" t="s">
        <v>173</v>
      </c>
      <c r="C44" s="326"/>
      <c r="D44" s="326"/>
      <c r="E44" s="360">
        <v>1965.04</v>
      </c>
      <c r="F44" s="360"/>
      <c r="G44" s="168" t="s">
        <v>174</v>
      </c>
      <c r="H44" s="340" t="s">
        <v>193</v>
      </c>
      <c r="I44" s="341"/>
      <c r="K44" s="237"/>
    </row>
    <row r="45" spans="2:11" ht="15">
      <c r="B45" s="169"/>
      <c r="C45" s="326" t="s">
        <v>175</v>
      </c>
      <c r="D45" s="326"/>
      <c r="E45" s="361">
        <v>44000000</v>
      </c>
      <c r="F45" s="361"/>
      <c r="G45" s="168" t="s">
        <v>176</v>
      </c>
      <c r="H45" s="362">
        <f>E45/E44</f>
        <v>22391.40170174653</v>
      </c>
      <c r="I45" s="363"/>
    </row>
    <row r="46" spans="2:11" ht="15">
      <c r="B46" s="170"/>
      <c r="C46" s="326" t="s">
        <v>177</v>
      </c>
      <c r="D46" s="326"/>
      <c r="E46" s="340" t="s">
        <v>178</v>
      </c>
      <c r="F46" s="340"/>
      <c r="G46" s="168" t="s">
        <v>68</v>
      </c>
      <c r="H46" s="328">
        <v>45294</v>
      </c>
      <c r="I46" s="329"/>
    </row>
    <row r="47" spans="2:11" ht="15">
      <c r="B47" s="170"/>
      <c r="C47" s="326" t="s">
        <v>179</v>
      </c>
      <c r="D47" s="326"/>
      <c r="E47" s="340" t="s">
        <v>241</v>
      </c>
      <c r="F47" s="340"/>
      <c r="G47" s="168" t="s">
        <v>180</v>
      </c>
      <c r="H47" s="358"/>
      <c r="I47" s="359"/>
    </row>
    <row r="48" spans="2:11" ht="15">
      <c r="B48" s="318" t="s">
        <v>181</v>
      </c>
      <c r="C48" s="319"/>
      <c r="D48" s="319"/>
      <c r="E48" s="319"/>
      <c r="F48" s="319"/>
      <c r="G48" s="319"/>
      <c r="H48" s="319"/>
      <c r="I48" s="320"/>
    </row>
    <row r="49" spans="2:11" ht="15">
      <c r="B49" s="321" t="s">
        <v>182</v>
      </c>
      <c r="C49" s="322"/>
      <c r="D49" s="322"/>
      <c r="E49" s="171" t="s">
        <v>183</v>
      </c>
      <c r="F49" s="171" t="s">
        <v>184</v>
      </c>
      <c r="G49" s="322" t="s">
        <v>185</v>
      </c>
      <c r="H49" s="322"/>
      <c r="I49" s="172"/>
    </row>
    <row r="50" spans="2:11" ht="15">
      <c r="B50" s="323" t="s">
        <v>228</v>
      </c>
      <c r="C50" s="355"/>
      <c r="D50" s="355"/>
      <c r="E50" s="221">
        <f>E44-E51</f>
        <v>1179.0239999999999</v>
      </c>
      <c r="F50" s="222">
        <f xml:space="preserve"> E50/E44</f>
        <v>0.6</v>
      </c>
      <c r="G50" s="356">
        <v>1</v>
      </c>
      <c r="H50" s="356"/>
      <c r="I50" s="190"/>
    </row>
    <row r="51" spans="2:11" ht="15">
      <c r="B51" s="357" t="s">
        <v>186</v>
      </c>
      <c r="C51" s="355"/>
      <c r="D51" s="355"/>
      <c r="E51" s="221">
        <f>E44*0.4</f>
        <v>786.01600000000008</v>
      </c>
      <c r="F51" s="222">
        <f xml:space="preserve"> E51/E44</f>
        <v>0.4</v>
      </c>
      <c r="G51" s="356">
        <v>0.6</v>
      </c>
      <c r="H51" s="356"/>
      <c r="I51" s="190"/>
    </row>
    <row r="52" spans="2:11" ht="15">
      <c r="B52" s="315" t="s">
        <v>164</v>
      </c>
      <c r="C52" s="316"/>
      <c r="D52" s="316"/>
      <c r="E52" s="173">
        <f>SUM(E50:E51)</f>
        <v>1965.04</v>
      </c>
      <c r="F52" s="174">
        <f>SUM(F50:F51)</f>
        <v>1</v>
      </c>
      <c r="G52" s="317">
        <f>F50*G50+F51*G51</f>
        <v>0.84</v>
      </c>
      <c r="H52" s="317"/>
      <c r="I52" s="175"/>
    </row>
    <row r="53" spans="2:11" ht="15">
      <c r="B53" s="176"/>
      <c r="C53" s="176"/>
      <c r="D53" s="176"/>
      <c r="E53" s="176"/>
      <c r="F53" s="176"/>
      <c r="G53" s="176"/>
      <c r="H53" s="176"/>
      <c r="I53" s="176"/>
    </row>
    <row r="54" spans="2:11" ht="15">
      <c r="B54" s="337" t="s">
        <v>190</v>
      </c>
      <c r="C54" s="337"/>
      <c r="D54" s="337"/>
      <c r="E54" s="337"/>
      <c r="F54" s="337"/>
      <c r="G54" s="337"/>
      <c r="H54" s="337"/>
      <c r="I54" s="337"/>
      <c r="K54" s="212"/>
    </row>
    <row r="55" spans="2:11" ht="15">
      <c r="B55" s="338" t="s">
        <v>168</v>
      </c>
      <c r="C55" s="339"/>
      <c r="D55" s="339"/>
      <c r="E55" s="340" t="s">
        <v>280</v>
      </c>
      <c r="F55" s="340"/>
      <c r="G55" s="168" t="s">
        <v>169</v>
      </c>
      <c r="H55" s="340" t="s">
        <v>281</v>
      </c>
      <c r="I55" s="341"/>
      <c r="K55" s="212" t="s">
        <v>287</v>
      </c>
    </row>
    <row r="56" spans="2:11" ht="15">
      <c r="B56" s="332" t="s">
        <v>170</v>
      </c>
      <c r="C56" s="326"/>
      <c r="D56" s="326"/>
      <c r="E56" s="340" t="s">
        <v>286</v>
      </c>
      <c r="F56" s="340"/>
      <c r="G56" s="168" t="s">
        <v>171</v>
      </c>
      <c r="H56" s="343" t="s">
        <v>172</v>
      </c>
      <c r="I56" s="345"/>
    </row>
    <row r="57" spans="2:11" ht="15">
      <c r="B57" s="332" t="s">
        <v>173</v>
      </c>
      <c r="C57" s="326"/>
      <c r="D57" s="326"/>
      <c r="E57" s="354">
        <v>1679.48</v>
      </c>
      <c r="F57" s="351"/>
      <c r="G57" s="168" t="s">
        <v>174</v>
      </c>
      <c r="H57" s="330" t="s">
        <v>193</v>
      </c>
      <c r="I57" s="345"/>
      <c r="K57" s="237"/>
    </row>
    <row r="58" spans="2:11" ht="15">
      <c r="B58" s="214"/>
      <c r="C58" s="326" t="s">
        <v>175</v>
      </c>
      <c r="D58" s="326"/>
      <c r="E58" s="346">
        <v>27460000</v>
      </c>
      <c r="F58" s="346"/>
      <c r="G58" s="168" t="s">
        <v>176</v>
      </c>
      <c r="H58" s="346">
        <f>E58/E57</f>
        <v>16350.298902041108</v>
      </c>
      <c r="I58" s="353"/>
    </row>
    <row r="59" spans="2:11" ht="15">
      <c r="B59" s="215"/>
      <c r="C59" s="326" t="s">
        <v>177</v>
      </c>
      <c r="D59" s="326"/>
      <c r="E59" s="343" t="s">
        <v>178</v>
      </c>
      <c r="F59" s="343"/>
      <c r="G59" s="168" t="s">
        <v>68</v>
      </c>
      <c r="H59" s="328">
        <v>45294</v>
      </c>
      <c r="I59" s="329"/>
    </row>
    <row r="60" spans="2:11" ht="15">
      <c r="B60" s="215"/>
      <c r="C60" s="326" t="s">
        <v>179</v>
      </c>
      <c r="D60" s="326"/>
      <c r="E60" s="344" t="s">
        <v>70</v>
      </c>
      <c r="F60" s="343"/>
      <c r="G60" s="168" t="s">
        <v>180</v>
      </c>
      <c r="H60" s="343"/>
      <c r="I60" s="345"/>
    </row>
    <row r="61" spans="2:11" ht="15">
      <c r="B61" s="318" t="s">
        <v>181</v>
      </c>
      <c r="C61" s="319"/>
      <c r="D61" s="319"/>
      <c r="E61" s="319"/>
      <c r="F61" s="319"/>
      <c r="G61" s="319"/>
      <c r="H61" s="319"/>
      <c r="I61" s="320"/>
    </row>
    <row r="62" spans="2:11" ht="15">
      <c r="B62" s="321" t="s">
        <v>182</v>
      </c>
      <c r="C62" s="322"/>
      <c r="D62" s="322"/>
      <c r="E62" s="171" t="s">
        <v>183</v>
      </c>
      <c r="F62" s="171" t="s">
        <v>184</v>
      </c>
      <c r="G62" s="322" t="s">
        <v>185</v>
      </c>
      <c r="H62" s="322"/>
      <c r="I62" s="216"/>
    </row>
    <row r="63" spans="2:11" ht="15">
      <c r="B63" s="313" t="s">
        <v>228</v>
      </c>
      <c r="C63" s="314"/>
      <c r="D63" s="314"/>
      <c r="E63" s="188">
        <f>E57-E64</f>
        <v>1024.4828</v>
      </c>
      <c r="F63" s="189">
        <f>E63/E57</f>
        <v>0.61</v>
      </c>
      <c r="G63" s="312">
        <v>1</v>
      </c>
      <c r="H63" s="312"/>
      <c r="I63" s="235"/>
    </row>
    <row r="64" spans="2:11" ht="15">
      <c r="B64" s="313" t="s">
        <v>186</v>
      </c>
      <c r="C64" s="314"/>
      <c r="D64" s="314"/>
      <c r="E64" s="188">
        <f>E57*0.39</f>
        <v>654.99720000000002</v>
      </c>
      <c r="F64" s="189">
        <f xml:space="preserve"> E64/E57</f>
        <v>0.39</v>
      </c>
      <c r="G64" s="312">
        <v>0.6</v>
      </c>
      <c r="H64" s="312"/>
      <c r="I64" s="216"/>
    </row>
    <row r="65" spans="2:11" ht="15">
      <c r="B65" s="315" t="s">
        <v>164</v>
      </c>
      <c r="C65" s="316"/>
      <c r="D65" s="316"/>
      <c r="E65" s="173">
        <f>SUM(E63:E64)</f>
        <v>1679.48</v>
      </c>
      <c r="F65" s="174">
        <f>SUM(F63:F64)</f>
        <v>1</v>
      </c>
      <c r="G65" s="317">
        <f>F64*G64+F63*G63</f>
        <v>0.84399999999999997</v>
      </c>
      <c r="H65" s="317"/>
      <c r="I65" s="217"/>
    </row>
    <row r="66" spans="2:11" ht="15">
      <c r="B66" s="213"/>
      <c r="C66" s="213"/>
      <c r="D66" s="213"/>
      <c r="E66" s="213"/>
      <c r="F66" s="213"/>
      <c r="G66" s="213"/>
      <c r="H66" s="213"/>
      <c r="I66" s="213"/>
    </row>
    <row r="67" spans="2:11" ht="15">
      <c r="B67" s="352" t="s">
        <v>191</v>
      </c>
      <c r="C67" s="352"/>
      <c r="D67" s="352"/>
      <c r="E67" s="352"/>
      <c r="F67" s="352"/>
      <c r="G67" s="352"/>
      <c r="H67" s="352"/>
      <c r="I67" s="352"/>
    </row>
    <row r="68" spans="2:11" ht="15">
      <c r="B68" s="338" t="s">
        <v>168</v>
      </c>
      <c r="C68" s="339"/>
      <c r="D68" s="339"/>
      <c r="E68" s="342" t="s">
        <v>289</v>
      </c>
      <c r="F68" s="327"/>
      <c r="G68" s="168" t="s">
        <v>169</v>
      </c>
      <c r="H68" s="340" t="s">
        <v>290</v>
      </c>
      <c r="I68" s="341"/>
      <c r="K68" s="212" t="s">
        <v>288</v>
      </c>
    </row>
    <row r="69" spans="2:11" ht="15">
      <c r="B69" s="332" t="s">
        <v>170</v>
      </c>
      <c r="C69" s="326"/>
      <c r="D69" s="326"/>
      <c r="E69" s="342" t="s">
        <v>291</v>
      </c>
      <c r="F69" s="343"/>
      <c r="G69" s="168" t="s">
        <v>171</v>
      </c>
      <c r="H69" s="343" t="s">
        <v>172</v>
      </c>
      <c r="I69" s="345"/>
    </row>
    <row r="70" spans="2:11" ht="15">
      <c r="B70" s="332" t="s">
        <v>173</v>
      </c>
      <c r="C70" s="326"/>
      <c r="D70" s="326"/>
      <c r="E70" s="350">
        <v>980</v>
      </c>
      <c r="F70" s="351"/>
      <c r="G70" s="168" t="s">
        <v>174</v>
      </c>
      <c r="H70" s="344" t="s">
        <v>193</v>
      </c>
      <c r="I70" s="345"/>
      <c r="K70" s="237"/>
    </row>
    <row r="71" spans="2:11" ht="15">
      <c r="B71" s="214"/>
      <c r="C71" s="326" t="s">
        <v>175</v>
      </c>
      <c r="D71" s="326"/>
      <c r="E71" s="346">
        <v>20000000</v>
      </c>
      <c r="F71" s="346"/>
      <c r="G71" s="168" t="s">
        <v>176</v>
      </c>
      <c r="H71" s="347">
        <f>E71/E70</f>
        <v>20408.163265306124</v>
      </c>
      <c r="I71" s="348"/>
    </row>
    <row r="72" spans="2:11" ht="15">
      <c r="B72" s="215"/>
      <c r="C72" s="326" t="s">
        <v>177</v>
      </c>
      <c r="D72" s="326"/>
      <c r="E72" s="349" t="s">
        <v>178</v>
      </c>
      <c r="F72" s="343"/>
      <c r="G72" s="168" t="s">
        <v>68</v>
      </c>
      <c r="H72" s="328">
        <v>45294</v>
      </c>
      <c r="I72" s="329"/>
    </row>
    <row r="73" spans="2:11" ht="15">
      <c r="B73" s="215"/>
      <c r="C73" s="326" t="s">
        <v>179</v>
      </c>
      <c r="D73" s="326"/>
      <c r="E73" s="344" t="s">
        <v>234</v>
      </c>
      <c r="F73" s="343"/>
      <c r="G73" s="168" t="s">
        <v>180</v>
      </c>
      <c r="H73" s="343"/>
      <c r="I73" s="345"/>
    </row>
    <row r="74" spans="2:11" ht="15">
      <c r="B74" s="318" t="s">
        <v>181</v>
      </c>
      <c r="C74" s="319"/>
      <c r="D74" s="319"/>
      <c r="E74" s="319"/>
      <c r="F74" s="319"/>
      <c r="G74" s="319"/>
      <c r="H74" s="319"/>
      <c r="I74" s="320"/>
    </row>
    <row r="75" spans="2:11" ht="15">
      <c r="B75" s="321" t="s">
        <v>182</v>
      </c>
      <c r="C75" s="322"/>
      <c r="D75" s="322"/>
      <c r="E75" s="171" t="s">
        <v>183</v>
      </c>
      <c r="F75" s="171" t="s">
        <v>184</v>
      </c>
      <c r="G75" s="322" t="s">
        <v>185</v>
      </c>
      <c r="H75" s="322"/>
      <c r="I75" s="216"/>
    </row>
    <row r="76" spans="2:11" s="192" customFormat="1" ht="15">
      <c r="B76" s="313" t="s">
        <v>228</v>
      </c>
      <c r="C76" s="314"/>
      <c r="D76" s="314"/>
      <c r="E76" s="188">
        <f>E70-E77</f>
        <v>627.20000000000005</v>
      </c>
      <c r="F76" s="189">
        <f xml:space="preserve"> E76/E70</f>
        <v>0.64</v>
      </c>
      <c r="G76" s="312">
        <v>1</v>
      </c>
      <c r="H76" s="312"/>
      <c r="I76" s="216"/>
    </row>
    <row r="77" spans="2:11" s="192" customFormat="1" ht="15">
      <c r="B77" s="313" t="s">
        <v>186</v>
      </c>
      <c r="C77" s="314"/>
      <c r="D77" s="314"/>
      <c r="E77" s="188">
        <f>E70*0.36</f>
        <v>352.8</v>
      </c>
      <c r="F77" s="189">
        <f xml:space="preserve"> E77/E70</f>
        <v>0.36</v>
      </c>
      <c r="G77" s="312">
        <v>0.6</v>
      </c>
      <c r="H77" s="312"/>
      <c r="I77" s="216"/>
    </row>
    <row r="78" spans="2:11" ht="15">
      <c r="B78" s="315" t="s">
        <v>164</v>
      </c>
      <c r="C78" s="316"/>
      <c r="D78" s="316"/>
      <c r="E78" s="173">
        <f>SUM(E76:E77)</f>
        <v>980</v>
      </c>
      <c r="F78" s="174">
        <f>SUM(F76:F77)</f>
        <v>1</v>
      </c>
      <c r="G78" s="317">
        <f>F76*G76+F77*G77</f>
        <v>0.85599999999999998</v>
      </c>
      <c r="H78" s="317"/>
      <c r="I78" s="217"/>
    </row>
    <row r="79" spans="2:11" ht="15">
      <c r="B79" s="218"/>
      <c r="C79" s="218"/>
      <c r="D79" s="218"/>
      <c r="E79" s="218"/>
      <c r="F79" s="218"/>
      <c r="G79" s="218"/>
      <c r="H79" s="218"/>
      <c r="I79" s="218"/>
    </row>
    <row r="80" spans="2:11" ht="15">
      <c r="B80" s="337" t="s">
        <v>192</v>
      </c>
      <c r="C80" s="337"/>
      <c r="D80" s="337"/>
      <c r="E80" s="337"/>
      <c r="F80" s="337"/>
      <c r="G80" s="337"/>
      <c r="H80" s="337"/>
      <c r="I80" s="337"/>
      <c r="K80" s="212"/>
    </row>
    <row r="81" spans="2:11" ht="15">
      <c r="B81" s="338" t="s">
        <v>168</v>
      </c>
      <c r="C81" s="339"/>
      <c r="D81" s="339"/>
      <c r="E81" s="340" t="s">
        <v>294</v>
      </c>
      <c r="F81" s="340"/>
      <c r="G81" s="168" t="s">
        <v>169</v>
      </c>
      <c r="H81" s="340" t="s">
        <v>293</v>
      </c>
      <c r="I81" s="341"/>
      <c r="J81" s="212"/>
      <c r="K81" s="212" t="s">
        <v>292</v>
      </c>
    </row>
    <row r="82" spans="2:11" ht="15">
      <c r="B82" s="332" t="s">
        <v>170</v>
      </c>
      <c r="C82" s="326"/>
      <c r="D82" s="326"/>
      <c r="E82" s="342" t="s">
        <v>291</v>
      </c>
      <c r="F82" s="343"/>
      <c r="G82" s="168" t="s">
        <v>171</v>
      </c>
      <c r="H82" s="327" t="s">
        <v>240</v>
      </c>
      <c r="I82" s="331"/>
    </row>
    <row r="83" spans="2:11" ht="15">
      <c r="B83" s="332" t="s">
        <v>173</v>
      </c>
      <c r="C83" s="326"/>
      <c r="D83" s="326"/>
      <c r="E83" s="333">
        <v>2105.4</v>
      </c>
      <c r="F83" s="333"/>
      <c r="G83" s="168" t="s">
        <v>174</v>
      </c>
      <c r="H83" s="327" t="s">
        <v>193</v>
      </c>
      <c r="I83" s="331"/>
    </row>
    <row r="84" spans="2:11" ht="15">
      <c r="B84" s="229"/>
      <c r="C84" s="326" t="s">
        <v>175</v>
      </c>
      <c r="D84" s="326"/>
      <c r="E84" s="334">
        <v>36975000</v>
      </c>
      <c r="F84" s="334"/>
      <c r="G84" s="168" t="s">
        <v>176</v>
      </c>
      <c r="H84" s="335">
        <f>E84/E83</f>
        <v>17561.983471074378</v>
      </c>
      <c r="I84" s="336"/>
    </row>
    <row r="85" spans="2:11" ht="15">
      <c r="B85" s="230"/>
      <c r="C85" s="326" t="s">
        <v>177</v>
      </c>
      <c r="D85" s="326"/>
      <c r="E85" s="327" t="s">
        <v>178</v>
      </c>
      <c r="F85" s="327"/>
      <c r="G85" s="168" t="s">
        <v>68</v>
      </c>
      <c r="H85" s="328">
        <v>45294</v>
      </c>
      <c r="I85" s="329"/>
    </row>
    <row r="86" spans="2:11" ht="15">
      <c r="B86" s="230"/>
      <c r="C86" s="326" t="s">
        <v>179</v>
      </c>
      <c r="D86" s="326"/>
      <c r="E86" s="330" t="s">
        <v>241</v>
      </c>
      <c r="F86" s="327"/>
      <c r="G86" s="168" t="s">
        <v>180</v>
      </c>
      <c r="H86" s="327"/>
      <c r="I86" s="331"/>
    </row>
    <row r="87" spans="2:11" ht="15">
      <c r="B87" s="318" t="s">
        <v>181</v>
      </c>
      <c r="C87" s="319"/>
      <c r="D87" s="319"/>
      <c r="E87" s="319"/>
      <c r="F87" s="319"/>
      <c r="G87" s="319"/>
      <c r="H87" s="319"/>
      <c r="I87" s="320"/>
    </row>
    <row r="88" spans="2:11" ht="15">
      <c r="B88" s="321" t="s">
        <v>182</v>
      </c>
      <c r="C88" s="322"/>
      <c r="D88" s="322"/>
      <c r="E88" s="171" t="s">
        <v>183</v>
      </c>
      <c r="F88" s="171" t="s">
        <v>184</v>
      </c>
      <c r="G88" s="322" t="s">
        <v>185</v>
      </c>
      <c r="H88" s="322"/>
      <c r="I88" s="231"/>
    </row>
    <row r="89" spans="2:11" ht="15">
      <c r="B89" s="323" t="s">
        <v>228</v>
      </c>
      <c r="C89" s="324"/>
      <c r="D89" s="324"/>
      <c r="E89" s="232">
        <f>E83-E90</f>
        <v>1242.1860000000001</v>
      </c>
      <c r="F89" s="233">
        <f>E89/E83</f>
        <v>0.59000000000000008</v>
      </c>
      <c r="G89" s="325">
        <v>1</v>
      </c>
      <c r="H89" s="325"/>
      <c r="I89" s="231"/>
    </row>
    <row r="90" spans="2:11" ht="15">
      <c r="B90" s="323" t="s">
        <v>186</v>
      </c>
      <c r="C90" s="324"/>
      <c r="D90" s="324"/>
      <c r="E90" s="232">
        <f>E83*0.41</f>
        <v>863.21399999999994</v>
      </c>
      <c r="F90" s="233">
        <f>E90/E83</f>
        <v>0.41</v>
      </c>
      <c r="G90" s="325">
        <v>0.6</v>
      </c>
      <c r="H90" s="325"/>
      <c r="I90" s="231"/>
    </row>
    <row r="91" spans="2:11" ht="15">
      <c r="B91" s="315" t="s">
        <v>164</v>
      </c>
      <c r="C91" s="316"/>
      <c r="D91" s="316"/>
      <c r="E91" s="173">
        <f>SUM(E89:E90)</f>
        <v>2105.4</v>
      </c>
      <c r="F91" s="174">
        <v>1</v>
      </c>
      <c r="G91" s="317">
        <f>F89*G89+F90*G90</f>
        <v>0.83600000000000008</v>
      </c>
      <c r="H91" s="317"/>
      <c r="I91" s="234"/>
    </row>
    <row r="92" spans="2:11" ht="15">
      <c r="B92" s="176"/>
      <c r="C92" s="176"/>
      <c r="D92" s="176"/>
      <c r="E92" s="176"/>
      <c r="F92" s="176"/>
      <c r="G92" s="176"/>
      <c r="H92" s="176"/>
      <c r="I92" s="176"/>
    </row>
    <row r="93" spans="2:11" ht="15">
      <c r="B93" s="176"/>
      <c r="C93" s="176"/>
      <c r="D93" s="176"/>
      <c r="E93" s="176"/>
      <c r="F93" s="176"/>
      <c r="G93" s="176"/>
      <c r="H93" s="176"/>
      <c r="I93" s="176"/>
    </row>
    <row r="94" spans="2:11" ht="15" customHeight="1">
      <c r="B94" s="176"/>
      <c r="C94" s="176"/>
      <c r="D94" s="176"/>
      <c r="E94" s="176"/>
      <c r="F94" s="176"/>
      <c r="G94" s="176"/>
      <c r="H94" s="176"/>
      <c r="I94" s="176"/>
    </row>
    <row r="95" spans="2:11" ht="15" customHeight="1">
      <c r="B95" s="176"/>
      <c r="C95" s="176"/>
      <c r="D95" s="176"/>
      <c r="E95" s="176"/>
      <c r="F95" s="176"/>
      <c r="G95" s="176"/>
      <c r="H95" s="176"/>
      <c r="I95" s="176"/>
    </row>
    <row r="96" spans="2:11" ht="15">
      <c r="B96" s="176"/>
      <c r="C96" s="176"/>
      <c r="D96" s="176"/>
      <c r="E96" s="176"/>
      <c r="F96" s="176"/>
      <c r="G96" s="176"/>
      <c r="H96" s="176"/>
      <c r="I96" s="176"/>
    </row>
    <row r="97" spans="2:9" ht="15">
      <c r="B97" s="176"/>
      <c r="C97" s="176"/>
      <c r="D97" s="176"/>
      <c r="E97" s="176"/>
      <c r="F97" s="176"/>
      <c r="G97" s="176"/>
      <c r="H97" s="176"/>
      <c r="I97" s="176"/>
    </row>
    <row r="98" spans="2:9" ht="15">
      <c r="B98" s="176"/>
      <c r="C98" s="176"/>
      <c r="D98" s="176"/>
      <c r="E98" s="176"/>
      <c r="F98" s="176"/>
      <c r="G98" s="176"/>
      <c r="H98" s="176"/>
      <c r="I98" s="176"/>
    </row>
    <row r="99" spans="2:9" ht="15">
      <c r="B99" s="176"/>
      <c r="C99" s="176"/>
      <c r="D99" s="176"/>
      <c r="E99" s="176"/>
      <c r="F99" s="176"/>
      <c r="G99" s="176"/>
      <c r="H99" s="176"/>
      <c r="I99" s="176"/>
    </row>
    <row r="100" spans="2:9" ht="15">
      <c r="B100" s="176"/>
      <c r="C100" s="176"/>
      <c r="D100" s="176"/>
      <c r="E100" s="176"/>
      <c r="F100" s="176"/>
      <c r="G100" s="176"/>
      <c r="H100" s="176"/>
      <c r="I100" s="176"/>
    </row>
    <row r="101" spans="2:9" ht="15">
      <c r="B101" s="176"/>
      <c r="C101" s="176"/>
      <c r="D101" s="176"/>
      <c r="E101" s="176"/>
      <c r="F101" s="176"/>
      <c r="G101" s="176"/>
      <c r="H101" s="176"/>
      <c r="I101" s="176"/>
    </row>
    <row r="102" spans="2:9" ht="15">
      <c r="B102" s="176"/>
      <c r="C102" s="176"/>
      <c r="D102" s="176"/>
      <c r="E102" s="176"/>
      <c r="F102" s="176"/>
      <c r="G102" s="176"/>
      <c r="H102" s="176"/>
      <c r="I102" s="176"/>
    </row>
    <row r="103" spans="2:9" ht="15">
      <c r="B103" s="176"/>
      <c r="C103" s="176"/>
      <c r="D103" s="176"/>
      <c r="E103" s="176"/>
      <c r="F103" s="176"/>
      <c r="G103" s="176"/>
      <c r="H103" s="176"/>
      <c r="I103" s="176"/>
    </row>
    <row r="104" spans="2:9" ht="15">
      <c r="B104" s="176"/>
      <c r="C104" s="176"/>
      <c r="D104" s="176"/>
      <c r="E104" s="176"/>
      <c r="F104" s="176"/>
      <c r="G104" s="176"/>
      <c r="H104" s="176"/>
      <c r="I104" s="176"/>
    </row>
    <row r="105" spans="2:9" ht="15">
      <c r="B105" s="176"/>
      <c r="C105" s="176"/>
      <c r="D105" s="176"/>
      <c r="E105" s="176"/>
      <c r="F105" s="176"/>
      <c r="G105" s="176"/>
      <c r="H105" s="176"/>
      <c r="I105" s="176"/>
    </row>
    <row r="106" spans="2:9" ht="15">
      <c r="B106" s="176"/>
      <c r="C106" s="176"/>
      <c r="D106" s="176"/>
      <c r="E106" s="176"/>
      <c r="F106" s="176"/>
      <c r="G106" s="176"/>
      <c r="H106" s="176"/>
      <c r="I106" s="176"/>
    </row>
    <row r="107" spans="2:9" ht="15">
      <c r="B107" s="176"/>
      <c r="C107" s="176"/>
      <c r="D107" s="176"/>
      <c r="E107" s="176"/>
      <c r="F107" s="176"/>
      <c r="G107" s="176"/>
      <c r="H107" s="176"/>
      <c r="I107" s="176"/>
    </row>
    <row r="108" spans="2:9" ht="15">
      <c r="B108" s="176"/>
      <c r="C108" s="176"/>
      <c r="D108" s="176"/>
      <c r="E108" s="176"/>
      <c r="F108" s="176"/>
      <c r="G108" s="176"/>
      <c r="H108" s="176"/>
      <c r="I108" s="176"/>
    </row>
    <row r="109" spans="2:9" ht="15">
      <c r="B109" s="176"/>
      <c r="C109" s="176"/>
      <c r="D109" s="176"/>
      <c r="E109" s="176"/>
      <c r="F109" s="176"/>
      <c r="G109" s="176"/>
      <c r="H109" s="176"/>
      <c r="I109" s="176"/>
    </row>
    <row r="110" spans="2:9" ht="15">
      <c r="B110" s="176"/>
      <c r="C110" s="176"/>
      <c r="D110" s="176"/>
      <c r="E110" s="176"/>
      <c r="F110" s="176"/>
      <c r="G110" s="176"/>
      <c r="H110" s="176"/>
      <c r="I110" s="176"/>
    </row>
    <row r="111" spans="2:9" ht="15">
      <c r="B111" s="176"/>
      <c r="C111" s="176"/>
      <c r="D111" s="176"/>
      <c r="E111" s="176"/>
      <c r="F111" s="176"/>
      <c r="G111" s="176"/>
      <c r="H111" s="176"/>
      <c r="I111" s="176"/>
    </row>
    <row r="112" spans="2:9" ht="15">
      <c r="B112" s="176"/>
      <c r="C112" s="176"/>
      <c r="D112" s="176"/>
      <c r="E112" s="176"/>
      <c r="F112" s="176"/>
      <c r="G112" s="176"/>
      <c r="H112" s="176"/>
      <c r="I112" s="176"/>
    </row>
    <row r="113" spans="2:9" ht="15">
      <c r="B113" s="176"/>
      <c r="C113" s="176"/>
      <c r="D113" s="176"/>
      <c r="E113" s="176"/>
      <c r="F113" s="176"/>
      <c r="G113" s="176"/>
      <c r="H113" s="176"/>
      <c r="I113" s="176"/>
    </row>
    <row r="114" spans="2:9" ht="15">
      <c r="B114" s="176"/>
      <c r="C114" s="176"/>
      <c r="D114" s="176"/>
      <c r="E114" s="176"/>
      <c r="F114" s="176"/>
      <c r="G114" s="176"/>
      <c r="H114" s="176"/>
      <c r="I114" s="176"/>
    </row>
    <row r="115" spans="2:9" ht="15">
      <c r="B115" s="176"/>
      <c r="C115" s="176"/>
      <c r="D115" s="176"/>
      <c r="E115" s="176"/>
      <c r="F115" s="176"/>
      <c r="G115" s="176"/>
      <c r="H115" s="176"/>
      <c r="I115" s="176"/>
    </row>
    <row r="116" spans="2:9" ht="15">
      <c r="B116" s="176"/>
      <c r="C116" s="176"/>
      <c r="D116" s="176"/>
      <c r="E116" s="176"/>
      <c r="F116" s="176"/>
      <c r="G116" s="176"/>
      <c r="H116" s="176"/>
      <c r="I116" s="176"/>
    </row>
    <row r="117" spans="2:9" ht="15">
      <c r="B117" s="176"/>
      <c r="C117" s="176"/>
      <c r="D117" s="176"/>
      <c r="E117" s="176"/>
      <c r="F117" s="176"/>
      <c r="G117" s="176"/>
      <c r="H117" s="176"/>
      <c r="I117" s="176"/>
    </row>
    <row r="118" spans="2:9" ht="15">
      <c r="B118" s="176"/>
      <c r="C118" s="176"/>
      <c r="D118" s="176"/>
      <c r="E118" s="176"/>
      <c r="F118" s="176"/>
      <c r="G118" s="176"/>
      <c r="H118" s="176"/>
      <c r="I118" s="176"/>
    </row>
    <row r="119" spans="2:9" ht="15">
      <c r="B119" s="176"/>
      <c r="C119" s="176"/>
      <c r="D119" s="176"/>
      <c r="E119" s="176"/>
      <c r="F119" s="176"/>
      <c r="G119" s="176"/>
      <c r="H119" s="176"/>
      <c r="I119" s="176"/>
    </row>
    <row r="120" spans="2:9" ht="15">
      <c r="B120" s="176"/>
      <c r="C120" s="176"/>
      <c r="D120" s="176"/>
      <c r="E120" s="176"/>
      <c r="F120" s="176"/>
      <c r="G120" s="176"/>
      <c r="H120" s="176"/>
      <c r="I120" s="176"/>
    </row>
    <row r="121" spans="2:9" ht="15">
      <c r="B121" s="176"/>
      <c r="C121" s="176"/>
      <c r="D121" s="176"/>
      <c r="E121" s="176"/>
      <c r="F121" s="176"/>
      <c r="G121" s="176"/>
      <c r="H121" s="176"/>
      <c r="I121" s="176"/>
    </row>
    <row r="122" spans="2:9" ht="15">
      <c r="B122" s="176"/>
      <c r="C122" s="176"/>
      <c r="D122" s="176"/>
      <c r="E122" s="176"/>
      <c r="F122" s="176"/>
      <c r="G122" s="176"/>
      <c r="H122" s="176"/>
      <c r="I122" s="176"/>
    </row>
    <row r="123" spans="2:9" ht="15">
      <c r="B123" s="176"/>
      <c r="C123" s="176"/>
      <c r="D123" s="176"/>
      <c r="E123" s="176"/>
      <c r="F123" s="176"/>
      <c r="G123" s="176"/>
      <c r="H123" s="176"/>
      <c r="I123" s="176"/>
    </row>
    <row r="124" spans="2:9" ht="15">
      <c r="B124" s="176"/>
      <c r="C124" s="176"/>
      <c r="D124" s="176"/>
      <c r="E124" s="176"/>
      <c r="F124" s="176"/>
      <c r="G124" s="176"/>
      <c r="H124" s="176"/>
      <c r="I124" s="176"/>
    </row>
    <row r="125" spans="2:9" ht="15">
      <c r="B125" s="176"/>
      <c r="C125" s="176"/>
      <c r="D125" s="176"/>
      <c r="E125" s="176"/>
      <c r="F125" s="176"/>
      <c r="G125" s="176"/>
      <c r="H125" s="176"/>
      <c r="I125" s="176"/>
    </row>
    <row r="126" spans="2:9" ht="15">
      <c r="B126" s="176"/>
      <c r="C126" s="176"/>
      <c r="D126" s="176"/>
      <c r="E126" s="176"/>
      <c r="F126" s="176"/>
      <c r="G126" s="176"/>
      <c r="H126" s="176"/>
      <c r="I126" s="176"/>
    </row>
    <row r="127" spans="2:9" ht="15">
      <c r="B127" s="176"/>
      <c r="C127" s="176"/>
      <c r="D127" s="176"/>
      <c r="E127" s="176"/>
      <c r="F127" s="176"/>
      <c r="G127" s="176"/>
      <c r="H127" s="176"/>
      <c r="I127" s="176"/>
    </row>
    <row r="128" spans="2:9" ht="15">
      <c r="B128" s="176"/>
      <c r="C128" s="176"/>
      <c r="D128" s="176"/>
      <c r="E128" s="176"/>
      <c r="F128" s="176"/>
      <c r="G128" s="176"/>
      <c r="H128" s="176"/>
      <c r="I128" s="176"/>
    </row>
    <row r="129" spans="2:9" ht="15">
      <c r="B129" s="176"/>
      <c r="C129" s="176"/>
      <c r="D129" s="176"/>
      <c r="E129" s="176"/>
      <c r="F129" s="176"/>
      <c r="G129" s="176"/>
      <c r="H129" s="176"/>
      <c r="I129" s="176"/>
    </row>
    <row r="130" spans="2:9" ht="15">
      <c r="B130" s="176"/>
      <c r="C130" s="176"/>
      <c r="D130" s="176"/>
      <c r="E130" s="176"/>
      <c r="F130" s="176"/>
      <c r="G130" s="176"/>
      <c r="H130" s="176"/>
      <c r="I130" s="176"/>
    </row>
    <row r="131" spans="2:9" ht="15">
      <c r="B131" s="176"/>
      <c r="C131" s="176"/>
      <c r="D131" s="176"/>
      <c r="E131" s="176"/>
      <c r="F131" s="176"/>
      <c r="G131" s="176"/>
      <c r="H131" s="176"/>
      <c r="I131" s="176"/>
    </row>
    <row r="132" spans="2:9" ht="15">
      <c r="B132" s="176"/>
      <c r="C132" s="176"/>
      <c r="D132" s="176"/>
      <c r="E132" s="176"/>
      <c r="F132" s="176"/>
      <c r="G132" s="176"/>
      <c r="H132" s="176"/>
      <c r="I132" s="176"/>
    </row>
    <row r="133" spans="2:9" ht="15">
      <c r="B133" s="176"/>
      <c r="C133" s="176"/>
      <c r="D133" s="176"/>
      <c r="E133" s="176"/>
      <c r="F133" s="176"/>
      <c r="G133" s="176"/>
      <c r="H133" s="176"/>
      <c r="I133" s="176"/>
    </row>
    <row r="134" spans="2:9" ht="15">
      <c r="B134" s="176"/>
      <c r="C134" s="176"/>
      <c r="D134" s="176"/>
      <c r="E134" s="176"/>
      <c r="F134" s="176"/>
      <c r="G134" s="176"/>
      <c r="H134" s="176"/>
      <c r="I134" s="176"/>
    </row>
    <row r="135" spans="2:9" ht="15">
      <c r="B135" s="176"/>
      <c r="C135" s="176"/>
      <c r="D135" s="176"/>
      <c r="E135" s="176"/>
      <c r="F135" s="176"/>
      <c r="G135" s="176"/>
      <c r="H135" s="176"/>
      <c r="I135" s="176"/>
    </row>
    <row r="136" spans="2:9" ht="15">
      <c r="B136" s="176"/>
      <c r="C136" s="176"/>
      <c r="D136" s="176"/>
      <c r="E136" s="176"/>
      <c r="F136" s="176"/>
      <c r="G136" s="176"/>
      <c r="H136" s="176"/>
      <c r="I136" s="176"/>
    </row>
    <row r="137" spans="2:9" ht="15">
      <c r="B137" s="176"/>
      <c r="C137" s="176"/>
      <c r="D137" s="176"/>
      <c r="E137" s="176"/>
      <c r="F137" s="176"/>
      <c r="G137" s="176"/>
      <c r="H137" s="176"/>
      <c r="I137" s="176"/>
    </row>
    <row r="138" spans="2:9" ht="15">
      <c r="B138" s="176"/>
      <c r="C138" s="176"/>
      <c r="D138" s="176"/>
      <c r="E138" s="176"/>
      <c r="F138" s="176"/>
      <c r="G138" s="176"/>
      <c r="H138" s="176"/>
      <c r="I138" s="176"/>
    </row>
    <row r="139" spans="2:9" ht="15">
      <c r="B139" s="176"/>
      <c r="C139" s="176"/>
      <c r="D139" s="176"/>
      <c r="E139" s="176"/>
      <c r="F139" s="176"/>
      <c r="G139" s="176"/>
      <c r="H139" s="176"/>
      <c r="I139" s="176"/>
    </row>
    <row r="140" spans="2:9" ht="15">
      <c r="B140" s="176"/>
      <c r="C140" s="176"/>
      <c r="D140" s="176"/>
      <c r="E140" s="176"/>
      <c r="F140" s="176"/>
      <c r="G140" s="176"/>
      <c r="H140" s="176"/>
      <c r="I140" s="176"/>
    </row>
    <row r="141" spans="2:9" ht="15">
      <c r="B141" s="176"/>
      <c r="C141" s="176"/>
      <c r="D141" s="176"/>
      <c r="E141" s="176"/>
      <c r="F141" s="176"/>
      <c r="G141" s="176"/>
      <c r="H141" s="176"/>
      <c r="I141" s="176"/>
    </row>
    <row r="142" spans="2:9" ht="15">
      <c r="B142" s="176"/>
      <c r="C142" s="176"/>
      <c r="D142" s="176"/>
      <c r="E142" s="176"/>
      <c r="F142" s="176"/>
      <c r="G142" s="176"/>
      <c r="H142" s="176"/>
      <c r="I142" s="176"/>
    </row>
    <row r="143" spans="2:9" ht="15">
      <c r="B143" s="176"/>
      <c r="C143" s="176"/>
      <c r="D143" s="176"/>
      <c r="E143" s="176"/>
      <c r="F143" s="176"/>
      <c r="G143" s="176"/>
      <c r="H143" s="176"/>
      <c r="I143" s="176"/>
    </row>
  </sheetData>
  <mergeCells count="192">
    <mergeCell ref="G37:H37"/>
    <mergeCell ref="B6:D6"/>
    <mergeCell ref="E6:F6"/>
    <mergeCell ref="H6:I6"/>
    <mergeCell ref="C7:D7"/>
    <mergeCell ref="E7:F7"/>
    <mergeCell ref="B3:I3"/>
    <mergeCell ref="B4:D4"/>
    <mergeCell ref="E4:F4"/>
    <mergeCell ref="H4:I4"/>
    <mergeCell ref="B5:D5"/>
    <mergeCell ref="E5:F5"/>
    <mergeCell ref="H5:I5"/>
    <mergeCell ref="H7:I7"/>
    <mergeCell ref="C8:D8"/>
    <mergeCell ref="E8:F8"/>
    <mergeCell ref="H8:I8"/>
    <mergeCell ref="B9:I9"/>
    <mergeCell ref="B13:D13"/>
    <mergeCell ref="G13:H13"/>
    <mergeCell ref="C19:D19"/>
    <mergeCell ref="E19:F19"/>
    <mergeCell ref="H19:I19"/>
    <mergeCell ref="B12:D12"/>
    <mergeCell ref="G12:H12"/>
    <mergeCell ref="B15:I15"/>
    <mergeCell ref="B16:D16"/>
    <mergeCell ref="E16:F16"/>
    <mergeCell ref="H16:I16"/>
    <mergeCell ref="B10:D10"/>
    <mergeCell ref="G10:H10"/>
    <mergeCell ref="B11:D11"/>
    <mergeCell ref="G11:H11"/>
    <mergeCell ref="C20:D20"/>
    <mergeCell ref="E20:F20"/>
    <mergeCell ref="H20:I20"/>
    <mergeCell ref="B17:D17"/>
    <mergeCell ref="E17:F17"/>
    <mergeCell ref="H17:I17"/>
    <mergeCell ref="B18:D18"/>
    <mergeCell ref="E18:F18"/>
    <mergeCell ref="H18:I18"/>
    <mergeCell ref="B24:D24"/>
    <mergeCell ref="G24:H24"/>
    <mergeCell ref="C21:D21"/>
    <mergeCell ref="E21:F21"/>
    <mergeCell ref="H21:I21"/>
    <mergeCell ref="B22:I22"/>
    <mergeCell ref="B23:D23"/>
    <mergeCell ref="G23:H23"/>
    <mergeCell ref="B30:D30"/>
    <mergeCell ref="E30:F30"/>
    <mergeCell ref="H30:I30"/>
    <mergeCell ref="B31:D31"/>
    <mergeCell ref="E31:F31"/>
    <mergeCell ref="H31:I31"/>
    <mergeCell ref="B25:D25"/>
    <mergeCell ref="G25:H25"/>
    <mergeCell ref="B26:D26"/>
    <mergeCell ref="G26:H26"/>
    <mergeCell ref="B28:I28"/>
    <mergeCell ref="B29:D29"/>
    <mergeCell ref="H29:I29"/>
    <mergeCell ref="E29:F29"/>
    <mergeCell ref="C34:D34"/>
    <mergeCell ref="E34:F34"/>
    <mergeCell ref="H34:I34"/>
    <mergeCell ref="B35:I35"/>
    <mergeCell ref="B36:D36"/>
    <mergeCell ref="G36:H36"/>
    <mergeCell ref="C32:D32"/>
    <mergeCell ref="E32:F32"/>
    <mergeCell ref="H32:I32"/>
    <mergeCell ref="C33:D33"/>
    <mergeCell ref="E33:F33"/>
    <mergeCell ref="H33:I33"/>
    <mergeCell ref="B41:I41"/>
    <mergeCell ref="B42:D42"/>
    <mergeCell ref="E42:F42"/>
    <mergeCell ref="H42:I42"/>
    <mergeCell ref="B43:D43"/>
    <mergeCell ref="E43:F43"/>
    <mergeCell ref="H43:I43"/>
    <mergeCell ref="B38:D38"/>
    <mergeCell ref="G38:H38"/>
    <mergeCell ref="B39:D39"/>
    <mergeCell ref="G39:H39"/>
    <mergeCell ref="C46:D46"/>
    <mergeCell ref="E46:F46"/>
    <mergeCell ref="H46:I46"/>
    <mergeCell ref="C47:D47"/>
    <mergeCell ref="E47:F47"/>
    <mergeCell ref="H47:I47"/>
    <mergeCell ref="B44:D44"/>
    <mergeCell ref="E44:F44"/>
    <mergeCell ref="H44:I44"/>
    <mergeCell ref="C45:D45"/>
    <mergeCell ref="E45:F45"/>
    <mergeCell ref="H45:I45"/>
    <mergeCell ref="B52:D52"/>
    <mergeCell ref="G52:H52"/>
    <mergeCell ref="B54:I54"/>
    <mergeCell ref="B55:D55"/>
    <mergeCell ref="E55:F55"/>
    <mergeCell ref="H55:I55"/>
    <mergeCell ref="B48:I48"/>
    <mergeCell ref="B49:D49"/>
    <mergeCell ref="G49:H49"/>
    <mergeCell ref="B50:D50"/>
    <mergeCell ref="G50:H50"/>
    <mergeCell ref="B51:D51"/>
    <mergeCell ref="G51:H51"/>
    <mergeCell ref="C58:D58"/>
    <mergeCell ref="E58:F58"/>
    <mergeCell ref="H58:I58"/>
    <mergeCell ref="C59:D59"/>
    <mergeCell ref="E59:F59"/>
    <mergeCell ref="H59:I59"/>
    <mergeCell ref="B56:D56"/>
    <mergeCell ref="E56:F56"/>
    <mergeCell ref="H56:I56"/>
    <mergeCell ref="B57:D57"/>
    <mergeCell ref="E57:F57"/>
    <mergeCell ref="H57:I57"/>
    <mergeCell ref="B64:D64"/>
    <mergeCell ref="G64:H64"/>
    <mergeCell ref="C60:D60"/>
    <mergeCell ref="E60:F60"/>
    <mergeCell ref="H60:I60"/>
    <mergeCell ref="B61:I61"/>
    <mergeCell ref="B62:D62"/>
    <mergeCell ref="G62:H62"/>
    <mergeCell ref="B63:D63"/>
    <mergeCell ref="G63:H63"/>
    <mergeCell ref="B69:D69"/>
    <mergeCell ref="E69:F69"/>
    <mergeCell ref="H69:I69"/>
    <mergeCell ref="B70:D70"/>
    <mergeCell ref="E70:F70"/>
    <mergeCell ref="H70:I70"/>
    <mergeCell ref="B65:D65"/>
    <mergeCell ref="G65:H65"/>
    <mergeCell ref="B67:I67"/>
    <mergeCell ref="B68:D68"/>
    <mergeCell ref="E68:F68"/>
    <mergeCell ref="H68:I68"/>
    <mergeCell ref="C73:D73"/>
    <mergeCell ref="E73:F73"/>
    <mergeCell ref="H73:I73"/>
    <mergeCell ref="B74:I74"/>
    <mergeCell ref="B75:D75"/>
    <mergeCell ref="G75:H75"/>
    <mergeCell ref="C71:D71"/>
    <mergeCell ref="E71:F71"/>
    <mergeCell ref="H71:I71"/>
    <mergeCell ref="C72:D72"/>
    <mergeCell ref="E72:F72"/>
    <mergeCell ref="H72:I72"/>
    <mergeCell ref="B81:D81"/>
    <mergeCell ref="E81:F81"/>
    <mergeCell ref="H81:I81"/>
    <mergeCell ref="B82:D82"/>
    <mergeCell ref="E82:F82"/>
    <mergeCell ref="H82:I82"/>
    <mergeCell ref="B77:D77"/>
    <mergeCell ref="G77:H77"/>
    <mergeCell ref="B78:D78"/>
    <mergeCell ref="G78:H78"/>
    <mergeCell ref="G76:H76"/>
    <mergeCell ref="B76:D76"/>
    <mergeCell ref="B91:D91"/>
    <mergeCell ref="G91:H91"/>
    <mergeCell ref="B87:I87"/>
    <mergeCell ref="B88:D88"/>
    <mergeCell ref="G88:H88"/>
    <mergeCell ref="B90:D90"/>
    <mergeCell ref="G90:H90"/>
    <mergeCell ref="G89:H89"/>
    <mergeCell ref="B89:D89"/>
    <mergeCell ref="C85:D85"/>
    <mergeCell ref="E85:F85"/>
    <mergeCell ref="H85:I85"/>
    <mergeCell ref="C86:D86"/>
    <mergeCell ref="E86:F86"/>
    <mergeCell ref="H86:I86"/>
    <mergeCell ref="B83:D83"/>
    <mergeCell ref="E83:F83"/>
    <mergeCell ref="H83:I83"/>
    <mergeCell ref="C84:D84"/>
    <mergeCell ref="E84:F84"/>
    <mergeCell ref="H84:I84"/>
    <mergeCell ref="B80:I80"/>
  </mergeCells>
  <hyperlinks>
    <hyperlink ref="K16" r:id="rId1"/>
    <hyperlink ref="K29" r:id="rId2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0"/>
  <sheetViews>
    <sheetView workbookViewId="0">
      <selection activeCell="B3" sqref="B3:L8"/>
    </sheetView>
  </sheetViews>
  <sheetFormatPr defaultColWidth="9.140625" defaultRowHeight="12.75"/>
  <cols>
    <col min="1" max="1" width="9.140625" style="154"/>
    <col min="2" max="2" width="12" style="154" bestFit="1" customWidth="1"/>
    <col min="3" max="3" width="11.42578125" style="154" bestFit="1" customWidth="1"/>
    <col min="4" max="4" width="17.42578125" style="154" bestFit="1" customWidth="1"/>
    <col min="5" max="5" width="11.28515625" style="154" bestFit="1" customWidth="1"/>
    <col min="6" max="6" width="8.42578125" style="154" bestFit="1" customWidth="1"/>
    <col min="7" max="7" width="10.7109375" style="154" customWidth="1"/>
    <col min="8" max="8" width="11.85546875" style="154" bestFit="1" customWidth="1"/>
    <col min="9" max="9" width="11.7109375" style="154" bestFit="1" customWidth="1"/>
    <col min="10" max="10" width="13.140625" style="192" customWidth="1"/>
    <col min="11" max="11" width="29.28515625" style="154" customWidth="1"/>
    <col min="12" max="12" width="17.140625" style="154" customWidth="1"/>
    <col min="13" max="16384" width="9.140625" style="154"/>
  </cols>
  <sheetData>
    <row r="3" spans="2:13" ht="13.5" customHeight="1">
      <c r="B3" s="197" t="s">
        <v>194</v>
      </c>
      <c r="C3" s="197" t="s">
        <v>163</v>
      </c>
      <c r="D3" s="200" t="s">
        <v>199</v>
      </c>
      <c r="E3" s="197" t="s">
        <v>200</v>
      </c>
      <c r="F3" s="200" t="s">
        <v>195</v>
      </c>
      <c r="G3" s="197" t="s">
        <v>166</v>
      </c>
      <c r="H3" s="200" t="s">
        <v>142</v>
      </c>
      <c r="I3" s="200" t="s">
        <v>133</v>
      </c>
      <c r="J3" s="201" t="s">
        <v>196</v>
      </c>
      <c r="K3" s="200" t="s">
        <v>197</v>
      </c>
      <c r="L3" s="200" t="s">
        <v>198</v>
      </c>
    </row>
    <row r="4" spans="2:13">
      <c r="B4" s="198">
        <v>1</v>
      </c>
      <c r="C4" s="202">
        <f>AMOSTRAS!E18</f>
        <v>1780.9</v>
      </c>
      <c r="D4" s="203">
        <f>AMOSTRAS!E19</f>
        <v>31000000</v>
      </c>
      <c r="E4" s="203">
        <f>D4/C4</f>
        <v>17406.929080801841</v>
      </c>
      <c r="F4" s="204">
        <f>AMOSTRAS!G26</f>
        <v>0.84000000000000008</v>
      </c>
      <c r="G4" s="205">
        <v>1</v>
      </c>
      <c r="H4" s="205">
        <v>1</v>
      </c>
      <c r="I4" s="205">
        <v>1</v>
      </c>
      <c r="J4" s="206">
        <v>0.9</v>
      </c>
      <c r="K4" s="196" t="str">
        <f>AMOSTRAS!E16</f>
        <v>Ruraliza Negócios</v>
      </c>
      <c r="L4" s="196" t="str">
        <f>AMOSTRAS!H16</f>
        <v>(63) 99252-2282</v>
      </c>
    </row>
    <row r="5" spans="2:13">
      <c r="B5" s="198">
        <v>2</v>
      </c>
      <c r="C5" s="202">
        <f>AMOSTRAS!E31</f>
        <v>508.2</v>
      </c>
      <c r="D5" s="203">
        <f>AMOSTRAS!E32</f>
        <v>8400000</v>
      </c>
      <c r="E5" s="203">
        <f t="shared" ref="E5:E9" si="0">D5/C5</f>
        <v>16528.92561983471</v>
      </c>
      <c r="F5" s="204">
        <f>AMOSTRAS!G39</f>
        <v>0.84799999999999998</v>
      </c>
      <c r="G5" s="205">
        <v>1</v>
      </c>
      <c r="H5" s="205">
        <v>1</v>
      </c>
      <c r="I5" s="205">
        <v>1</v>
      </c>
      <c r="J5" s="206">
        <v>0.9</v>
      </c>
      <c r="K5" s="196" t="str">
        <f>AMOSTRAS!E29</f>
        <v>Ruraliza Negócios</v>
      </c>
      <c r="L5" s="196" t="str">
        <f>AMOSTRAS!H29</f>
        <v>(63) 99252-2282</v>
      </c>
    </row>
    <row r="6" spans="2:13">
      <c r="B6" s="198">
        <v>3</v>
      </c>
      <c r="C6" s="202">
        <f>AMOSTRAS!E44</f>
        <v>1965.04</v>
      </c>
      <c r="D6" s="203">
        <f>AMOSTRAS!E45</f>
        <v>44000000</v>
      </c>
      <c r="E6" s="203">
        <f t="shared" si="0"/>
        <v>22391.40170174653</v>
      </c>
      <c r="F6" s="204">
        <f>AMOSTRAS!G52</f>
        <v>0.84</v>
      </c>
      <c r="G6" s="205">
        <v>1</v>
      </c>
      <c r="H6" s="205">
        <v>1</v>
      </c>
      <c r="I6" s="205">
        <v>1</v>
      </c>
      <c r="J6" s="206">
        <v>0.9</v>
      </c>
      <c r="K6" s="196" t="str">
        <f>AMOSTRAS!E42</f>
        <v>MSC</v>
      </c>
      <c r="L6" s="196" t="str">
        <f>AMOSTRAS!H42</f>
        <v>(62) 99432-5672</v>
      </c>
    </row>
    <row r="7" spans="2:13" ht="15">
      <c r="B7" s="198">
        <v>4</v>
      </c>
      <c r="C7" s="202">
        <f>AMOSTRAS!E57</f>
        <v>1679.48</v>
      </c>
      <c r="D7" s="203">
        <f>AMOSTRAS!E58</f>
        <v>27460000</v>
      </c>
      <c r="E7" s="203">
        <f t="shared" si="0"/>
        <v>16350.298902041108</v>
      </c>
      <c r="F7" s="204">
        <f>AMOSTRAS!G65</f>
        <v>0.84399999999999997</v>
      </c>
      <c r="G7" s="205">
        <v>1</v>
      </c>
      <c r="H7" s="205">
        <v>1</v>
      </c>
      <c r="I7" s="205">
        <v>1</v>
      </c>
      <c r="J7" s="206">
        <v>0.9</v>
      </c>
      <c r="K7" s="196" t="str">
        <f>AMOSTRAS!E55</f>
        <v>Ruraliza Negócios</v>
      </c>
      <c r="L7" s="242" t="s">
        <v>275</v>
      </c>
      <c r="M7" s="190"/>
    </row>
    <row r="8" spans="2:13">
      <c r="B8" s="198">
        <v>5</v>
      </c>
      <c r="C8" s="202">
        <f>AMOSTRAS!E70</f>
        <v>980</v>
      </c>
      <c r="D8" s="203">
        <f>AMOSTRAS!E71</f>
        <v>20000000</v>
      </c>
      <c r="E8" s="203">
        <f t="shared" si="0"/>
        <v>20408.163265306124</v>
      </c>
      <c r="F8" s="204">
        <f>AMOSTRAS!G78</f>
        <v>0.85599999999999998</v>
      </c>
      <c r="G8" s="205">
        <v>1</v>
      </c>
      <c r="H8" s="205">
        <v>1</v>
      </c>
      <c r="I8" s="205">
        <v>1</v>
      </c>
      <c r="J8" s="206">
        <v>0.9</v>
      </c>
      <c r="K8" s="196" t="str">
        <f>AMOSTRAS!E68</f>
        <v>Mil Fazendas</v>
      </c>
      <c r="L8" s="196">
        <v>0</v>
      </c>
    </row>
    <row r="9" spans="2:13">
      <c r="B9" s="198">
        <v>6</v>
      </c>
      <c r="C9" s="202">
        <f>AMOSTRAS!E83</f>
        <v>2105.4</v>
      </c>
      <c r="D9" s="203">
        <f>AMOSTRAS!E84</f>
        <v>36975000</v>
      </c>
      <c r="E9" s="203">
        <f t="shared" si="0"/>
        <v>17561.983471074378</v>
      </c>
      <c r="F9" s="204">
        <f>AMOSTRAS!G91</f>
        <v>0.83600000000000008</v>
      </c>
      <c r="G9" s="205">
        <v>1</v>
      </c>
      <c r="H9" s="205">
        <v>1</v>
      </c>
      <c r="I9" s="205">
        <v>1</v>
      </c>
      <c r="J9" s="206">
        <v>0.9</v>
      </c>
      <c r="K9" s="196" t="str">
        <f>AMOSTRAS!E81</f>
        <v>José Geraldo Vieira</v>
      </c>
      <c r="L9" s="196" t="str">
        <f>AMOSTRAS!H81</f>
        <v>(38) 99821-6261</v>
      </c>
    </row>
    <row r="10" spans="2:13">
      <c r="B10" s="153"/>
      <c r="C10" s="177"/>
      <c r="D10" s="178"/>
      <c r="E10" s="178"/>
      <c r="F10" s="179"/>
      <c r="G10" s="180"/>
      <c r="H10" s="180"/>
      <c r="I10" s="180"/>
      <c r="J10" s="195"/>
      <c r="K10" s="181"/>
      <c r="L10" s="18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6"/>
  <sheetViews>
    <sheetView showGridLines="0" zoomScale="77" zoomScaleNormal="77" zoomScaleSheetLayoutView="100" workbookViewId="0">
      <selection activeCell="A3" sqref="A3:R26"/>
    </sheetView>
  </sheetViews>
  <sheetFormatPr defaultColWidth="9.140625" defaultRowHeight="12.75"/>
  <cols>
    <col min="1" max="1" width="12" style="125" customWidth="1"/>
    <col min="2" max="2" width="31.28515625" style="125" customWidth="1"/>
    <col min="3" max="3" width="22.140625" style="125" customWidth="1"/>
    <col min="4" max="4" width="19.42578125" style="125" bestFit="1" customWidth="1"/>
    <col min="5" max="5" width="15.85546875" style="125" customWidth="1"/>
    <col min="6" max="6" width="19.7109375" style="125" bestFit="1" customWidth="1"/>
    <col min="7" max="7" width="9.7109375" style="125" customWidth="1"/>
    <col min="8" max="8" width="11.5703125" style="125" customWidth="1"/>
    <col min="9" max="9" width="9.85546875" style="125" customWidth="1"/>
    <col min="10" max="10" width="10" style="125" bestFit="1" customWidth="1"/>
    <col min="11" max="11" width="9.7109375" style="125" bestFit="1" customWidth="1"/>
    <col min="12" max="12" width="11.140625" style="125" bestFit="1" customWidth="1"/>
    <col min="13" max="14" width="10.85546875" style="125" bestFit="1" customWidth="1"/>
    <col min="15" max="15" width="11.85546875" style="125" bestFit="1" customWidth="1"/>
    <col min="16" max="16" width="20.7109375" style="125" customWidth="1"/>
    <col min="17" max="17" width="19.140625" style="125" bestFit="1" customWidth="1"/>
    <col min="18" max="18" width="15.85546875" style="125" bestFit="1" customWidth="1"/>
    <col min="19" max="16384" width="9.140625" style="125"/>
  </cols>
  <sheetData>
    <row r="1" spans="1:18" ht="15">
      <c r="E1" s="386"/>
      <c r="F1" s="387"/>
      <c r="G1" s="387"/>
      <c r="H1" s="387"/>
      <c r="I1" s="387"/>
      <c r="J1" s="387"/>
      <c r="K1" s="387"/>
      <c r="L1" s="387"/>
      <c r="M1" s="387"/>
      <c r="N1" s="387"/>
    </row>
    <row r="2" spans="1:18" ht="13.5" thickBot="1"/>
    <row r="3" spans="1:18" ht="45" customHeight="1">
      <c r="A3" s="126" t="s">
        <v>22</v>
      </c>
      <c r="B3" s="127" t="s">
        <v>23</v>
      </c>
      <c r="C3" s="127" t="s">
        <v>24</v>
      </c>
      <c r="D3" s="127" t="s">
        <v>97</v>
      </c>
      <c r="E3" s="127" t="s">
        <v>69</v>
      </c>
      <c r="F3" s="127" t="s">
        <v>98</v>
      </c>
      <c r="G3" s="127" t="s">
        <v>25</v>
      </c>
      <c r="H3" s="127" t="s">
        <v>150</v>
      </c>
      <c r="I3" s="127" t="s">
        <v>26</v>
      </c>
      <c r="J3" s="127" t="s">
        <v>27</v>
      </c>
      <c r="K3" s="127" t="s">
        <v>95</v>
      </c>
      <c r="L3" s="127" t="s">
        <v>96</v>
      </c>
      <c r="M3" s="128" t="s">
        <v>28</v>
      </c>
      <c r="N3" s="128" t="s">
        <v>151</v>
      </c>
      <c r="O3" s="127" t="s">
        <v>29</v>
      </c>
      <c r="P3" s="127" t="s">
        <v>152</v>
      </c>
      <c r="Q3" s="127" t="s">
        <v>153</v>
      </c>
      <c r="R3" s="129" t="s">
        <v>30</v>
      </c>
    </row>
    <row r="4" spans="1:18" ht="15">
      <c r="A4" s="130">
        <v>1</v>
      </c>
      <c r="B4" s="131" t="str">
        <f>AMOSTRAS!E17</f>
        <v>Juarina - TO</v>
      </c>
      <c r="C4" s="131" t="s">
        <v>77</v>
      </c>
      <c r="D4" s="132">
        <f>AMOSTRAS!E19</f>
        <v>31000000</v>
      </c>
      <c r="E4" s="133">
        <f>AMOSTRAS!E18</f>
        <v>1780.9</v>
      </c>
      <c r="F4" s="182">
        <f>D4/E4</f>
        <v>17406.929080801841</v>
      </c>
      <c r="G4" s="184">
        <f>AMOSTRAS!G26</f>
        <v>0.84000000000000008</v>
      </c>
      <c r="H4" s="135">
        <f>IF(G10=" ","",$G$10-G4+1)</f>
        <v>1.0892248089194305</v>
      </c>
      <c r="I4" s="184">
        <f>QUADRO!G4</f>
        <v>1</v>
      </c>
      <c r="J4" s="136">
        <f>IF(I10=" ","",$I$10-I4+1)</f>
        <v>1</v>
      </c>
      <c r="K4" s="184">
        <v>1</v>
      </c>
      <c r="L4" s="136">
        <f>IF(K10=" ","",$K$10-K4+1)</f>
        <v>1.1000000000000001</v>
      </c>
      <c r="M4" s="184">
        <v>1</v>
      </c>
      <c r="N4" s="135">
        <f>IF(M10=" ","",$M$10-M4+1)</f>
        <v>1</v>
      </c>
      <c r="O4" s="184">
        <f>QUADRO!J4</f>
        <v>0.9</v>
      </c>
      <c r="P4" s="135">
        <f>TRUNC(IF(O4=" ","",H4*J4*L4*N4*O4),4)</f>
        <v>1.0783</v>
      </c>
      <c r="Q4" s="132">
        <f t="shared" ref="Q4:Q9" si="0">TRUNC(IF(F4="","",F4*P4),2)</f>
        <v>18769.89</v>
      </c>
      <c r="R4" s="183">
        <f t="shared" ref="R4:R9" si="1">IF(AND(Q4&lt;=$Q$12+$Q$13,Q4&gt;=$Q$12-$Q$13),Q4,"*")</f>
        <v>18769.89</v>
      </c>
    </row>
    <row r="5" spans="1:18" ht="15">
      <c r="A5" s="130">
        <v>2</v>
      </c>
      <c r="B5" s="131" t="str">
        <f>AMOSTRAS!E30</f>
        <v>Juarina - TO</v>
      </c>
      <c r="C5" s="131" t="s">
        <v>74</v>
      </c>
      <c r="D5" s="132">
        <f>AMOSTRAS!E32</f>
        <v>8400000</v>
      </c>
      <c r="E5" s="133">
        <f>AMOSTRAS!E31</f>
        <v>508.2</v>
      </c>
      <c r="F5" s="182">
        <f t="shared" ref="F5:F9" si="2">D5/E5</f>
        <v>16528.92561983471</v>
      </c>
      <c r="G5" s="184">
        <f>AMOSTRAS!G39</f>
        <v>0.84799999999999998</v>
      </c>
      <c r="H5" s="135">
        <f>IF(G10=" ","",$G$10-G5+1)</f>
        <v>1.0812248089194307</v>
      </c>
      <c r="I5" s="184">
        <f>QUADRO!G5</f>
        <v>1</v>
      </c>
      <c r="J5" s="136">
        <f>IF(I10=" ","",$I$10-I5+1)</f>
        <v>1</v>
      </c>
      <c r="K5" s="184">
        <v>1</v>
      </c>
      <c r="L5" s="136">
        <f>IF(K10=" ","",$K$10-K5+1)</f>
        <v>1.1000000000000001</v>
      </c>
      <c r="M5" s="184">
        <v>1</v>
      </c>
      <c r="N5" s="135">
        <f>IF(M10=" ","",$M$10-M5+1)</f>
        <v>1</v>
      </c>
      <c r="O5" s="184">
        <f>QUADRO!J5</f>
        <v>0.9</v>
      </c>
      <c r="P5" s="135">
        <f t="shared" ref="P5:P9" si="3">TRUNC(IF(O5=" ","",H5*J5*L5*N5*O5),4)</f>
        <v>1.0704</v>
      </c>
      <c r="Q5" s="132">
        <f t="shared" si="0"/>
        <v>17692.560000000001</v>
      </c>
      <c r="R5" s="183">
        <f t="shared" si="1"/>
        <v>17692.560000000001</v>
      </c>
    </row>
    <row r="6" spans="1:18" ht="15">
      <c r="A6" s="130">
        <v>3</v>
      </c>
      <c r="B6" s="131" t="str">
        <f>AMOSTRAS!E43</f>
        <v>Couto Magalhães - TO</v>
      </c>
      <c r="C6" s="131" t="s">
        <v>78</v>
      </c>
      <c r="D6" s="132">
        <f>AMOSTRAS!E45</f>
        <v>44000000</v>
      </c>
      <c r="E6" s="133">
        <f>AMOSTRAS!E44</f>
        <v>1965.04</v>
      </c>
      <c r="F6" s="182">
        <f t="shared" si="2"/>
        <v>22391.40170174653</v>
      </c>
      <c r="G6" s="184">
        <f>AMOSTRAS!G52</f>
        <v>0.84</v>
      </c>
      <c r="H6" s="135">
        <f>IF(G10=" ","",$G$10-G6+1)</f>
        <v>1.0892248089194307</v>
      </c>
      <c r="I6" s="184">
        <f>QUADRO!G6</f>
        <v>1</v>
      </c>
      <c r="J6" s="136">
        <f>IF(I10=" ","",$I$10-I6+1)</f>
        <v>1</v>
      </c>
      <c r="K6" s="184">
        <v>1</v>
      </c>
      <c r="L6" s="136">
        <f>IF(K10=" ","",$K$10-K6+1)</f>
        <v>1.1000000000000001</v>
      </c>
      <c r="M6" s="184">
        <v>1</v>
      </c>
      <c r="N6" s="135">
        <f>IF(M10=" ","",$M$10-M6+1)</f>
        <v>1</v>
      </c>
      <c r="O6" s="184">
        <f>QUADRO!J6</f>
        <v>0.9</v>
      </c>
      <c r="P6" s="135">
        <f t="shared" si="3"/>
        <v>1.0783</v>
      </c>
      <c r="Q6" s="132">
        <f t="shared" si="0"/>
        <v>24144.639999999999</v>
      </c>
      <c r="R6" s="183" t="str">
        <f t="shared" si="1"/>
        <v>*</v>
      </c>
    </row>
    <row r="7" spans="1:18" ht="15">
      <c r="A7" s="130">
        <v>4</v>
      </c>
      <c r="B7" s="131" t="str">
        <f>AMOSTRAS!E56</f>
        <v>Couto Magalhães - TO</v>
      </c>
      <c r="C7" s="131" t="s">
        <v>75</v>
      </c>
      <c r="D7" s="132">
        <f>AMOSTRAS!E58</f>
        <v>27460000</v>
      </c>
      <c r="E7" s="133">
        <f>AMOSTRAS!E57</f>
        <v>1679.48</v>
      </c>
      <c r="F7" s="182">
        <f t="shared" si="2"/>
        <v>16350.298902041108</v>
      </c>
      <c r="G7" s="184">
        <f>AMOSTRAS!G65</f>
        <v>0.84399999999999997</v>
      </c>
      <c r="H7" s="135">
        <f>IF(G11=" ","",$G$10-G7+1)</f>
        <v>1.0852248089194307</v>
      </c>
      <c r="I7" s="184">
        <f>QUADRO!G7</f>
        <v>1</v>
      </c>
      <c r="J7" s="136">
        <f>IF(I11=" ","",$I$10-I7+1)</f>
        <v>1</v>
      </c>
      <c r="K7" s="184">
        <v>1</v>
      </c>
      <c r="L7" s="136">
        <f>IF(K11=" ","",$K$10-K7+1)</f>
        <v>1.1000000000000001</v>
      </c>
      <c r="M7" s="184">
        <v>1</v>
      </c>
      <c r="N7" s="135">
        <f>IF(M11=" ","",$M$10-M7+1)</f>
        <v>1</v>
      </c>
      <c r="O7" s="184">
        <f>QUADRO!J7</f>
        <v>0.9</v>
      </c>
      <c r="P7" s="135">
        <f t="shared" si="3"/>
        <v>1.0743</v>
      </c>
      <c r="Q7" s="132">
        <f t="shared" si="0"/>
        <v>17565.12</v>
      </c>
      <c r="R7" s="183">
        <f t="shared" si="1"/>
        <v>17565.12</v>
      </c>
    </row>
    <row r="8" spans="1:18" ht="15">
      <c r="A8" s="130">
        <v>5</v>
      </c>
      <c r="B8" s="131" t="str">
        <f>AMOSTRAS!E69</f>
        <v>Pequizeiro - TO</v>
      </c>
      <c r="C8" s="131" t="s">
        <v>76</v>
      </c>
      <c r="D8" s="132">
        <f>AMOSTRAS!E71</f>
        <v>20000000</v>
      </c>
      <c r="E8" s="133">
        <f>AMOSTRAS!E70</f>
        <v>980</v>
      </c>
      <c r="F8" s="182">
        <f t="shared" si="2"/>
        <v>20408.163265306124</v>
      </c>
      <c r="G8" s="184">
        <f>AMOSTRAS!G78</f>
        <v>0.85599999999999998</v>
      </c>
      <c r="H8" s="135">
        <f>IF(G12=" ","",$G$10-G8+1)</f>
        <v>1.0732248089194307</v>
      </c>
      <c r="I8" s="184">
        <f>QUADRO!G8</f>
        <v>1</v>
      </c>
      <c r="J8" s="136">
        <f>IF(I12=" ","",$I$10-I8+1)</f>
        <v>1</v>
      </c>
      <c r="K8" s="184">
        <v>1</v>
      </c>
      <c r="L8" s="136">
        <f>IF(K12=" ","",$K$10-K8+1)</f>
        <v>1.1000000000000001</v>
      </c>
      <c r="M8" s="184">
        <v>1</v>
      </c>
      <c r="N8" s="135">
        <f>IF(M12=" ","",$M$10-M8+1)</f>
        <v>1</v>
      </c>
      <c r="O8" s="184">
        <f>QUADRO!J8</f>
        <v>0.9</v>
      </c>
      <c r="P8" s="135">
        <f t="shared" si="3"/>
        <v>1.0624</v>
      </c>
      <c r="Q8" s="132">
        <f t="shared" si="0"/>
        <v>21681.63</v>
      </c>
      <c r="R8" s="183">
        <f t="shared" si="1"/>
        <v>21681.63</v>
      </c>
    </row>
    <row r="9" spans="1:18" ht="15">
      <c r="A9" s="130">
        <v>6</v>
      </c>
      <c r="B9" s="131" t="str">
        <f>AMOSTRAS!E82</f>
        <v>Pequizeiro - TO</v>
      </c>
      <c r="C9" s="131" t="s">
        <v>103</v>
      </c>
      <c r="D9" s="132">
        <f>AMOSTRAS!E84</f>
        <v>36975000</v>
      </c>
      <c r="E9" s="133">
        <f>AMOSTRAS!E83</f>
        <v>2105.4</v>
      </c>
      <c r="F9" s="182">
        <f t="shared" si="2"/>
        <v>17561.983471074378</v>
      </c>
      <c r="G9" s="184">
        <f>AMOSTRAS!G91</f>
        <v>0.83600000000000008</v>
      </c>
      <c r="H9" s="135">
        <f>IF(G13=" ","",$G$10-G9+1)</f>
        <v>1.0932248089194305</v>
      </c>
      <c r="I9" s="184">
        <f>QUADRO!G9</f>
        <v>1</v>
      </c>
      <c r="J9" s="136">
        <f>IF(I13=" ","",$I$10-I9+1)</f>
        <v>1</v>
      </c>
      <c r="K9" s="184">
        <v>1</v>
      </c>
      <c r="L9" s="136">
        <f>IF(K13=" ","",$K$10-K9+1)</f>
        <v>1.1000000000000001</v>
      </c>
      <c r="M9" s="184">
        <v>1</v>
      </c>
      <c r="N9" s="135">
        <f>IF(M13=" ","",$M$10-M9+1)</f>
        <v>1</v>
      </c>
      <c r="O9" s="184">
        <f>QUADRO!J9</f>
        <v>0.9</v>
      </c>
      <c r="P9" s="135">
        <f t="shared" si="3"/>
        <v>1.0822000000000001</v>
      </c>
      <c r="Q9" s="132">
        <f t="shared" si="0"/>
        <v>19005.57</v>
      </c>
      <c r="R9" s="183">
        <f t="shared" si="1"/>
        <v>19005.57</v>
      </c>
    </row>
    <row r="10" spans="1:18" ht="27.75" customHeight="1">
      <c r="A10" s="186" t="s">
        <v>73</v>
      </c>
      <c r="B10" s="187" t="str">
        <f>AMOSTRAS!E5</f>
        <v>Juarina - TO</v>
      </c>
      <c r="C10" s="187" t="s">
        <v>93</v>
      </c>
      <c r="D10" s="137"/>
      <c r="E10" s="138"/>
      <c r="F10" s="139"/>
      <c r="G10" s="184">
        <f>AMOSTRAS!G13</f>
        <v>0.9292248089194306</v>
      </c>
      <c r="H10" s="140"/>
      <c r="I10" s="184">
        <v>1</v>
      </c>
      <c r="J10" s="141"/>
      <c r="K10" s="184">
        <v>1.1000000000000001</v>
      </c>
      <c r="L10" s="141"/>
      <c r="M10" s="184">
        <v>1</v>
      </c>
      <c r="N10" s="142"/>
      <c r="O10" s="138"/>
      <c r="P10" s="138"/>
      <c r="Q10" s="143"/>
      <c r="R10" s="144"/>
    </row>
    <row r="11" spans="1:18" ht="12.75" customHeight="1">
      <c r="A11" s="145"/>
      <c r="B11" s="137"/>
      <c r="C11" s="137"/>
      <c r="D11" s="137"/>
      <c r="E11" s="137"/>
      <c r="F11" s="137"/>
      <c r="G11" s="137"/>
      <c r="H11" s="137"/>
      <c r="I11" s="146"/>
      <c r="J11" s="146"/>
      <c r="K11" s="146"/>
      <c r="L11" s="146"/>
      <c r="M11" s="137"/>
      <c r="N11" s="137"/>
      <c r="O11" s="137"/>
      <c r="P11" s="137"/>
      <c r="Q11" s="137"/>
      <c r="R11" s="147"/>
    </row>
    <row r="12" spans="1:18" ht="14.25" customHeight="1">
      <c r="A12" s="384" t="s">
        <v>31</v>
      </c>
      <c r="B12" s="385"/>
      <c r="C12" s="382" t="s">
        <v>32</v>
      </c>
      <c r="D12" s="383"/>
      <c r="E12" s="383"/>
      <c r="F12" s="383"/>
      <c r="G12" s="383"/>
      <c r="H12" s="383"/>
      <c r="I12" s="383"/>
      <c r="J12" s="383"/>
      <c r="K12" s="383"/>
      <c r="L12" s="146"/>
      <c r="M12" s="137"/>
      <c r="N12" s="137"/>
      <c r="O12" s="137"/>
      <c r="P12" s="148" t="s">
        <v>33</v>
      </c>
      <c r="Q12" s="134">
        <f>TRUNC(IF(Q4="","",AVERAGE(Q4:Q9)),2)</f>
        <v>19809.900000000001</v>
      </c>
      <c r="R12" s="147"/>
    </row>
    <row r="13" spans="1:18" ht="14.25" customHeight="1">
      <c r="A13" s="384" t="s">
        <v>34</v>
      </c>
      <c r="B13" s="385"/>
      <c r="C13" s="382" t="s">
        <v>35</v>
      </c>
      <c r="D13" s="383"/>
      <c r="E13" s="383"/>
      <c r="F13" s="383"/>
      <c r="G13" s="383"/>
      <c r="H13" s="383"/>
      <c r="I13" s="383"/>
      <c r="J13" s="383"/>
      <c r="K13" s="383"/>
      <c r="L13" s="137"/>
      <c r="M13" s="137"/>
      <c r="N13" s="137"/>
      <c r="O13" s="137"/>
      <c r="P13" s="148" t="s">
        <v>36</v>
      </c>
      <c r="Q13" s="134">
        <f>TRUNC(IF(Q12="","",_xlfn.STDEV.S(Q4:Q9)),2)</f>
        <v>2590.13</v>
      </c>
      <c r="R13" s="147"/>
    </row>
    <row r="14" spans="1:18" ht="14.25" customHeight="1">
      <c r="A14" s="384" t="str">
        <f>L3</f>
        <v>Benfeitorias Indexado³</v>
      </c>
      <c r="B14" s="385"/>
      <c r="C14" s="382" t="s">
        <v>37</v>
      </c>
      <c r="D14" s="383"/>
      <c r="E14" s="383"/>
      <c r="F14" s="383"/>
      <c r="G14" s="383"/>
      <c r="H14" s="383"/>
      <c r="I14" s="383"/>
      <c r="J14" s="383"/>
      <c r="K14" s="383"/>
      <c r="L14" s="137"/>
      <c r="M14" s="137"/>
      <c r="N14" s="137"/>
      <c r="O14" s="137"/>
      <c r="P14" s="148" t="s">
        <v>38</v>
      </c>
      <c r="Q14" s="134">
        <f>TRUNC(IF(Q12="","",Q12+Q13),2)</f>
        <v>22400.03</v>
      </c>
      <c r="R14" s="147"/>
    </row>
    <row r="15" spans="1:18" ht="14.25" customHeight="1">
      <c r="A15" s="384" t="s">
        <v>154</v>
      </c>
      <c r="B15" s="385"/>
      <c r="C15" s="382" t="s">
        <v>39</v>
      </c>
      <c r="D15" s="383"/>
      <c r="E15" s="383"/>
      <c r="F15" s="383"/>
      <c r="G15" s="383"/>
      <c r="H15" s="383"/>
      <c r="I15" s="383"/>
      <c r="J15" s="383"/>
      <c r="K15" s="383"/>
      <c r="L15" s="137"/>
      <c r="M15" s="137"/>
      <c r="N15" s="137"/>
      <c r="O15" s="137"/>
      <c r="P15" s="148" t="s">
        <v>40</v>
      </c>
      <c r="Q15" s="134">
        <f>TRUNC(IF(Q12="","",Q12-Q13),2)</f>
        <v>17219.77</v>
      </c>
      <c r="R15" s="147"/>
    </row>
    <row r="16" spans="1:18" ht="14.25" customHeight="1">
      <c r="A16" s="384" t="s">
        <v>152</v>
      </c>
      <c r="B16" s="385"/>
      <c r="C16" s="380" t="s">
        <v>41</v>
      </c>
      <c r="D16" s="381"/>
      <c r="E16" s="381"/>
      <c r="F16" s="381"/>
      <c r="G16" s="381"/>
      <c r="H16" s="381"/>
      <c r="I16" s="381"/>
      <c r="J16" s="381"/>
      <c r="K16" s="381"/>
      <c r="L16" s="137"/>
      <c r="M16" s="137"/>
      <c r="N16" s="137"/>
      <c r="O16" s="137"/>
      <c r="P16" s="137"/>
      <c r="Q16" s="137"/>
      <c r="R16" s="147"/>
    </row>
    <row r="17" spans="1:18" ht="28.5" customHeight="1">
      <c r="A17" s="384" t="s">
        <v>153</v>
      </c>
      <c r="B17" s="385"/>
      <c r="C17" s="380" t="s">
        <v>99</v>
      </c>
      <c r="D17" s="381"/>
      <c r="E17" s="381"/>
      <c r="F17" s="381"/>
      <c r="G17" s="381"/>
      <c r="H17" s="381"/>
      <c r="I17" s="381"/>
      <c r="J17" s="381"/>
      <c r="K17" s="381"/>
      <c r="L17" s="137"/>
      <c r="M17" s="148" t="s">
        <v>55</v>
      </c>
      <c r="N17" s="131">
        <v>4</v>
      </c>
      <c r="O17" s="137"/>
      <c r="P17" s="148" t="s">
        <v>42</v>
      </c>
      <c r="Q17" s="185">
        <f>TRUNC(AVERAGE(R4:R9),2)</f>
        <v>18942.95</v>
      </c>
      <c r="R17" s="147"/>
    </row>
    <row r="18" spans="1:18" ht="14.25" customHeight="1">
      <c r="A18" s="384" t="s">
        <v>38</v>
      </c>
      <c r="B18" s="385"/>
      <c r="C18" s="380" t="s">
        <v>100</v>
      </c>
      <c r="D18" s="381"/>
      <c r="E18" s="381"/>
      <c r="F18" s="381"/>
      <c r="G18" s="381"/>
      <c r="H18" s="381"/>
      <c r="I18" s="381"/>
      <c r="J18" s="381"/>
      <c r="K18" s="381"/>
      <c r="L18" s="137"/>
      <c r="M18" s="148" t="s">
        <v>56</v>
      </c>
      <c r="N18" s="131">
        <v>0.26700000000000002</v>
      </c>
      <c r="O18" s="137"/>
      <c r="P18" s="137"/>
      <c r="Q18" s="137"/>
      <c r="R18" s="147"/>
    </row>
    <row r="19" spans="1:18" ht="28.5" customHeight="1">
      <c r="A19" s="384" t="s">
        <v>40</v>
      </c>
      <c r="B19" s="385"/>
      <c r="C19" s="380" t="s">
        <v>101</v>
      </c>
      <c r="D19" s="381"/>
      <c r="E19" s="381"/>
      <c r="F19" s="381"/>
      <c r="G19" s="381"/>
      <c r="H19" s="381"/>
      <c r="I19" s="381"/>
      <c r="J19" s="381"/>
      <c r="K19" s="381"/>
      <c r="L19" s="137"/>
      <c r="M19" s="137"/>
      <c r="N19" s="137"/>
      <c r="O19" s="137"/>
      <c r="P19" s="148" t="s">
        <v>43</v>
      </c>
      <c r="Q19" s="134">
        <f>TRUNC(_xlfn.STDEV.S(R4:R9),2)</f>
        <v>1658.02</v>
      </c>
      <c r="R19" s="147"/>
    </row>
    <row r="20" spans="1:18" ht="14.25" customHeight="1">
      <c r="A20" s="384" t="s">
        <v>30</v>
      </c>
      <c r="B20" s="385"/>
      <c r="C20" s="380" t="s">
        <v>102</v>
      </c>
      <c r="D20" s="381"/>
      <c r="E20" s="381"/>
      <c r="F20" s="381"/>
      <c r="G20" s="381"/>
      <c r="H20" s="381"/>
      <c r="I20" s="381"/>
      <c r="J20" s="381"/>
      <c r="K20" s="381"/>
      <c r="L20" s="137"/>
      <c r="M20" s="137"/>
      <c r="N20" s="137"/>
      <c r="O20" s="137"/>
      <c r="P20" s="148" t="s">
        <v>44</v>
      </c>
      <c r="Q20" s="149">
        <f>TRUNC(N18*(Q19/(SQRT(N17))),2)</f>
        <v>221.34</v>
      </c>
      <c r="R20" s="147"/>
    </row>
    <row r="21" spans="1:18" ht="14.25" customHeight="1">
      <c r="A21" s="384" t="s">
        <v>42</v>
      </c>
      <c r="B21" s="385"/>
      <c r="C21" s="380" t="s">
        <v>45</v>
      </c>
      <c r="D21" s="381"/>
      <c r="E21" s="381"/>
      <c r="F21" s="381"/>
      <c r="G21" s="381"/>
      <c r="H21" s="381"/>
      <c r="I21" s="381"/>
      <c r="J21" s="381"/>
      <c r="K21" s="381"/>
      <c r="L21" s="137"/>
      <c r="M21" s="137"/>
      <c r="N21" s="137"/>
      <c r="O21" s="137"/>
      <c r="P21" s="150" t="s">
        <v>46</v>
      </c>
      <c r="Q21" s="134">
        <f>TRUNC(IF(Q17="","",Q17+Q20),2)</f>
        <v>19164.29</v>
      </c>
      <c r="R21" s="147"/>
    </row>
    <row r="22" spans="1:18" ht="14.25" customHeight="1">
      <c r="A22" s="384" t="s">
        <v>44</v>
      </c>
      <c r="B22" s="385"/>
      <c r="C22" s="382" t="s">
        <v>155</v>
      </c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8"/>
      <c r="P22" s="148" t="s">
        <v>47</v>
      </c>
      <c r="Q22" s="134">
        <f>TRUNC(IF(Q17="","",Q17-Q20),2)</f>
        <v>18721.61</v>
      </c>
      <c r="R22" s="147"/>
    </row>
    <row r="23" spans="1:18" ht="14.25" customHeight="1">
      <c r="A23" s="384" t="s">
        <v>46</v>
      </c>
      <c r="B23" s="385"/>
      <c r="C23" s="380" t="s">
        <v>48</v>
      </c>
      <c r="D23" s="381"/>
      <c r="E23" s="381"/>
      <c r="F23" s="381"/>
      <c r="G23" s="381"/>
      <c r="H23" s="381"/>
      <c r="I23" s="381"/>
      <c r="J23" s="381"/>
      <c r="K23" s="381"/>
      <c r="L23" s="381"/>
      <c r="M23" s="137"/>
      <c r="N23" s="137"/>
      <c r="O23" s="137"/>
      <c r="P23" s="148" t="s">
        <v>49</v>
      </c>
      <c r="Q23" s="134">
        <f>TRUNC(IF(Q21="","",Q21-Q22),2)</f>
        <v>442.68</v>
      </c>
      <c r="R23" s="147"/>
    </row>
    <row r="24" spans="1:18" ht="30">
      <c r="A24" s="384" t="s">
        <v>47</v>
      </c>
      <c r="B24" s="385"/>
      <c r="C24" s="380" t="s">
        <v>50</v>
      </c>
      <c r="D24" s="381"/>
      <c r="E24" s="381"/>
      <c r="F24" s="381"/>
      <c r="G24" s="381"/>
      <c r="H24" s="381"/>
      <c r="I24" s="381"/>
      <c r="J24" s="381"/>
      <c r="K24" s="381"/>
      <c r="L24" s="381"/>
      <c r="M24" s="137"/>
      <c r="N24" s="137"/>
      <c r="O24" s="137"/>
      <c r="P24" s="148" t="s">
        <v>71</v>
      </c>
      <c r="Q24" s="149">
        <f>IF(Q17="","",(Q23/Q17)*100)</f>
        <v>2.336911621473952</v>
      </c>
      <c r="R24" s="147"/>
    </row>
    <row r="25" spans="1:18" ht="14.25" customHeight="1">
      <c r="A25" s="384" t="s">
        <v>49</v>
      </c>
      <c r="B25" s="385"/>
      <c r="C25" s="380" t="s">
        <v>52</v>
      </c>
      <c r="D25" s="381"/>
      <c r="E25" s="381"/>
      <c r="F25" s="381"/>
      <c r="G25" s="381"/>
      <c r="H25" s="381"/>
      <c r="I25" s="381"/>
      <c r="J25" s="381"/>
      <c r="K25" s="381"/>
      <c r="L25" s="137"/>
      <c r="M25" s="137"/>
      <c r="N25" s="137"/>
      <c r="O25" s="137"/>
      <c r="P25" s="137"/>
      <c r="Q25" s="137"/>
      <c r="R25" s="147"/>
    </row>
    <row r="26" spans="1:18" ht="15" customHeight="1" thickBot="1">
      <c r="A26" s="389" t="s">
        <v>51</v>
      </c>
      <c r="B26" s="390"/>
      <c r="C26" s="391" t="s">
        <v>53</v>
      </c>
      <c r="D26" s="392"/>
      <c r="E26" s="392"/>
      <c r="F26" s="392"/>
      <c r="G26" s="392"/>
      <c r="H26" s="392"/>
      <c r="I26" s="392"/>
      <c r="J26" s="392"/>
      <c r="K26" s="392"/>
      <c r="L26" s="151"/>
      <c r="M26" s="151"/>
      <c r="N26" s="151"/>
      <c r="O26" s="151"/>
      <c r="P26" s="151"/>
      <c r="Q26" s="151"/>
      <c r="R26" s="152"/>
    </row>
  </sheetData>
  <mergeCells count="31">
    <mergeCell ref="A25:B25"/>
    <mergeCell ref="A26:B26"/>
    <mergeCell ref="C24:L24"/>
    <mergeCell ref="C25:K25"/>
    <mergeCell ref="C26:K26"/>
    <mergeCell ref="A23:B23"/>
    <mergeCell ref="C21:K21"/>
    <mergeCell ref="C22:O22"/>
    <mergeCell ref="C23:L23"/>
    <mergeCell ref="A24:B24"/>
    <mergeCell ref="A20:B20"/>
    <mergeCell ref="C20:K20"/>
    <mergeCell ref="A21:B21"/>
    <mergeCell ref="A22:B22"/>
    <mergeCell ref="C18:K18"/>
    <mergeCell ref="C19:K19"/>
    <mergeCell ref="A18:B18"/>
    <mergeCell ref="A19:B19"/>
    <mergeCell ref="E1:N1"/>
    <mergeCell ref="A12:B12"/>
    <mergeCell ref="A13:B13"/>
    <mergeCell ref="A14:B14"/>
    <mergeCell ref="C12:K12"/>
    <mergeCell ref="C13:K13"/>
    <mergeCell ref="C14:K14"/>
    <mergeCell ref="C17:K17"/>
    <mergeCell ref="C15:K15"/>
    <mergeCell ref="C16:K16"/>
    <mergeCell ref="A15:B15"/>
    <mergeCell ref="A16:B16"/>
    <mergeCell ref="A17:B17"/>
  </mergeCells>
  <phoneticPr fontId="42" type="noConversion"/>
  <conditionalFormatting sqref="B4:C10">
    <cfRule type="cellIs" dxfId="8" priority="25" stopIfTrue="1" operator="equal">
      <formula>" "</formula>
    </cfRule>
  </conditionalFormatting>
  <conditionalFormatting sqref="D4:D9">
    <cfRule type="cellIs" dxfId="7" priority="3" stopIfTrue="1" operator="equal">
      <formula>" "</formula>
    </cfRule>
  </conditionalFormatting>
  <conditionalFormatting sqref="E4:E10">
    <cfRule type="cellIs" dxfId="6" priority="15" stopIfTrue="1" operator="equal">
      <formula>" "</formula>
    </cfRule>
  </conditionalFormatting>
  <conditionalFormatting sqref="G4:G10">
    <cfRule type="cellIs" dxfId="5" priority="20" stopIfTrue="1" operator="equal">
      <formula>" "</formula>
    </cfRule>
  </conditionalFormatting>
  <conditionalFormatting sqref="I4:I10">
    <cfRule type="cellIs" dxfId="4" priority="19" stopIfTrue="1" operator="equal">
      <formula>" "</formula>
    </cfRule>
  </conditionalFormatting>
  <conditionalFormatting sqref="K4:K10">
    <cfRule type="cellIs" dxfId="3" priority="18" stopIfTrue="1" operator="equal">
      <formula>" "</formula>
    </cfRule>
  </conditionalFormatting>
  <conditionalFormatting sqref="M4:M10">
    <cfRule type="cellIs" dxfId="2" priority="17" stopIfTrue="1" operator="equal">
      <formula>" "</formula>
    </cfRule>
  </conditionalFormatting>
  <conditionalFormatting sqref="O4:O10">
    <cfRule type="cellIs" dxfId="1" priority="14" stopIfTrue="1" operator="equal">
      <formula>" "</formula>
    </cfRule>
  </conditionalFormatting>
  <pageMargins left="0.511811024" right="0.511811024" top="0.78740157499999996" bottom="0.78740157499999996" header="0.31496062000000002" footer="0.31496062000000002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33"/>
  <sheetViews>
    <sheetView workbookViewId="0">
      <selection activeCell="C4" sqref="C4:H4"/>
    </sheetView>
  </sheetViews>
  <sheetFormatPr defaultRowHeight="12.75"/>
  <cols>
    <col min="10" max="10" width="13.140625" bestFit="1" customWidth="1"/>
  </cols>
  <sheetData>
    <row r="3" spans="3:10">
      <c r="C3" s="413"/>
      <c r="D3" s="414"/>
      <c r="E3" s="414"/>
      <c r="F3" s="414"/>
      <c r="G3" s="414"/>
      <c r="H3" s="414"/>
    </row>
    <row r="4" spans="3:10">
      <c r="C4" s="413" t="s">
        <v>235</v>
      </c>
      <c r="D4" s="413"/>
      <c r="E4" s="413"/>
      <c r="F4" s="413"/>
      <c r="G4" s="413"/>
      <c r="H4" s="413"/>
    </row>
    <row r="5" spans="3:10">
      <c r="C5" s="393" t="s">
        <v>43</v>
      </c>
      <c r="D5" s="394"/>
      <c r="E5" s="394"/>
      <c r="F5" s="395">
        <f>'PLANILHA HOMOG'!Q19</f>
        <v>1658.02</v>
      </c>
      <c r="G5" s="395"/>
      <c r="H5" s="396"/>
    </row>
    <row r="6" spans="3:10">
      <c r="C6" s="393" t="s">
        <v>201</v>
      </c>
      <c r="D6" s="394"/>
      <c r="E6" s="394"/>
      <c r="F6" s="395">
        <f>'PLANILHA HOMOG'!Q14</f>
        <v>22400.03</v>
      </c>
      <c r="G6" s="395"/>
      <c r="H6" s="396"/>
    </row>
    <row r="7" spans="3:10">
      <c r="C7" s="393" t="s">
        <v>202</v>
      </c>
      <c r="D7" s="394"/>
      <c r="E7" s="394"/>
      <c r="F7" s="395">
        <f>'PLANILHA HOMOG'!Q15</f>
        <v>17219.77</v>
      </c>
      <c r="G7" s="395"/>
      <c r="H7" s="396"/>
    </row>
    <row r="8" spans="3:10">
      <c r="C8" s="393" t="s">
        <v>203</v>
      </c>
      <c r="D8" s="394"/>
      <c r="E8" s="394"/>
      <c r="F8" s="408">
        <v>6</v>
      </c>
      <c r="G8" s="408"/>
      <c r="H8" s="409"/>
      <c r="J8" s="238" t="s">
        <v>225</v>
      </c>
    </row>
    <row r="9" spans="3:10">
      <c r="C9" s="393" t="s">
        <v>204</v>
      </c>
      <c r="D9" s="394"/>
      <c r="E9" s="394"/>
      <c r="F9" s="408">
        <v>1</v>
      </c>
      <c r="G9" s="408"/>
      <c r="H9" s="409"/>
      <c r="J9" t="s">
        <v>225</v>
      </c>
    </row>
    <row r="10" spans="3:10">
      <c r="C10" s="393" t="s">
        <v>71</v>
      </c>
      <c r="D10" s="394"/>
      <c r="E10" s="394"/>
      <c r="F10" s="411">
        <f>'PLANILHA HOMOG'!Q24</f>
        <v>2.336911621473952</v>
      </c>
      <c r="G10" s="411"/>
      <c r="H10" s="412"/>
    </row>
    <row r="11" spans="3:10">
      <c r="C11" s="393" t="s">
        <v>205</v>
      </c>
      <c r="D11" s="394"/>
      <c r="E11" s="394"/>
      <c r="F11" s="408">
        <f>'PLANILHA HOMOG'!N18</f>
        <v>0.26700000000000002</v>
      </c>
      <c r="G11" s="408"/>
      <c r="H11" s="409"/>
    </row>
    <row r="12" spans="3:10">
      <c r="C12" s="393" t="s">
        <v>49</v>
      </c>
      <c r="D12" s="394"/>
      <c r="E12" s="394"/>
      <c r="F12" s="395">
        <f>'PLANILHA HOMOG'!Q23</f>
        <v>442.68</v>
      </c>
      <c r="G12" s="395"/>
      <c r="H12" s="396"/>
    </row>
    <row r="13" spans="3:10" ht="15">
      <c r="C13" s="397" t="s">
        <v>206</v>
      </c>
      <c r="D13" s="398"/>
      <c r="E13" s="398"/>
      <c r="F13" s="399">
        <f>'PLANILHA HOMOG'!Q17</f>
        <v>18942.95</v>
      </c>
      <c r="G13" s="399"/>
      <c r="H13" s="400"/>
      <c r="J13" s="199">
        <f>F13*4.84</f>
        <v>91683.877999999997</v>
      </c>
    </row>
    <row r="15" spans="3:10">
      <c r="C15" s="410" t="s">
        <v>236</v>
      </c>
      <c r="D15" s="410"/>
      <c r="E15" s="410"/>
      <c r="F15" s="410"/>
      <c r="G15" s="410"/>
      <c r="H15" s="410"/>
    </row>
    <row r="16" spans="3:10">
      <c r="C16" s="393" t="s">
        <v>207</v>
      </c>
      <c r="D16" s="394"/>
      <c r="E16" s="394"/>
      <c r="F16" s="408">
        <f>AMOSTRAS!E13</f>
        <v>319.44639999999998</v>
      </c>
      <c r="G16" s="408"/>
      <c r="H16" s="409"/>
    </row>
    <row r="17" spans="3:13">
      <c r="C17" s="393" t="s">
        <v>208</v>
      </c>
      <c r="D17" s="394"/>
      <c r="E17" s="394"/>
      <c r="F17" s="395">
        <f>'PLANILHA HOMOG'!Q17</f>
        <v>18942.95</v>
      </c>
      <c r="G17" s="395"/>
      <c r="H17" s="396"/>
    </row>
    <row r="18" spans="3:13">
      <c r="C18" s="393" t="s">
        <v>209</v>
      </c>
      <c r="D18" s="394"/>
      <c r="E18" s="394"/>
      <c r="F18" s="395">
        <f>F16*F17</f>
        <v>6051257.1828800002</v>
      </c>
      <c r="G18" s="395"/>
      <c r="H18" s="396"/>
    </row>
    <row r="19" spans="3:13" ht="15">
      <c r="C19" s="397" t="s">
        <v>210</v>
      </c>
      <c r="D19" s="398"/>
      <c r="E19" s="398"/>
      <c r="F19" s="399">
        <f>F18</f>
        <v>6051257.1828800002</v>
      </c>
      <c r="G19" s="399"/>
      <c r="H19" s="400"/>
      <c r="M19" s="207"/>
    </row>
    <row r="20" spans="3:13">
      <c r="C20" s="404"/>
      <c r="D20" s="404"/>
      <c r="E20" s="404"/>
      <c r="F20" s="405"/>
      <c r="G20" s="405"/>
      <c r="H20" s="405"/>
    </row>
    <row r="21" spans="3:13">
      <c r="C21" s="404"/>
      <c r="D21" s="404"/>
      <c r="E21" s="404"/>
      <c r="F21" s="405"/>
      <c r="G21" s="405"/>
      <c r="H21" s="405"/>
    </row>
    <row r="22" spans="3:13">
      <c r="C22" s="404"/>
      <c r="D22" s="404"/>
      <c r="E22" s="404"/>
      <c r="F22" s="406"/>
      <c r="G22" s="407"/>
      <c r="H22" s="407"/>
    </row>
    <row r="23" spans="3:13">
      <c r="C23" s="401" t="s">
        <v>211</v>
      </c>
      <c r="D23" s="401"/>
      <c r="E23" s="401"/>
      <c r="F23" s="401"/>
      <c r="G23" s="401"/>
      <c r="H23" s="401"/>
    </row>
    <row r="24" spans="3:13">
      <c r="C24" s="393" t="s">
        <v>212</v>
      </c>
      <c r="D24" s="394"/>
      <c r="E24" s="394"/>
      <c r="F24" s="395">
        <v>2000000</v>
      </c>
      <c r="G24" s="395"/>
      <c r="H24" s="396"/>
    </row>
    <row r="25" spans="3:13">
      <c r="C25" s="393" t="s">
        <v>213</v>
      </c>
      <c r="D25" s="394"/>
      <c r="E25" s="394"/>
      <c r="F25" s="402">
        <v>0.8</v>
      </c>
      <c r="G25" s="402"/>
      <c r="H25" s="403"/>
    </row>
    <row r="26" spans="3:13">
      <c r="C26" s="393" t="s">
        <v>214</v>
      </c>
      <c r="D26" s="394"/>
      <c r="E26" s="394"/>
      <c r="F26" s="395">
        <f>F24*F25</f>
        <v>1600000</v>
      </c>
      <c r="G26" s="395"/>
      <c r="H26" s="396"/>
    </row>
    <row r="27" spans="3:13" ht="15">
      <c r="C27" s="397" t="s">
        <v>210</v>
      </c>
      <c r="D27" s="398"/>
      <c r="E27" s="398"/>
      <c r="F27" s="399">
        <f>F26</f>
        <v>1600000</v>
      </c>
      <c r="G27" s="399"/>
      <c r="H27" s="400"/>
    </row>
    <row r="30" spans="3:13">
      <c r="C30" s="401" t="s">
        <v>215</v>
      </c>
      <c r="D30" s="401"/>
      <c r="E30" s="401"/>
      <c r="F30" s="401"/>
      <c r="G30" s="401"/>
      <c r="H30" s="401"/>
    </row>
    <row r="31" spans="3:13">
      <c r="C31" s="393" t="s">
        <v>216</v>
      </c>
      <c r="D31" s="394"/>
      <c r="E31" s="394"/>
      <c r="F31" s="395">
        <f>F19</f>
        <v>6051257.1828800002</v>
      </c>
      <c r="G31" s="395"/>
      <c r="H31" s="396"/>
    </row>
    <row r="32" spans="3:13">
      <c r="C32" s="393" t="s">
        <v>217</v>
      </c>
      <c r="D32" s="394"/>
      <c r="E32" s="394"/>
      <c r="F32" s="395">
        <f>F27</f>
        <v>1600000</v>
      </c>
      <c r="G32" s="395"/>
      <c r="H32" s="396"/>
    </row>
    <row r="33" spans="3:8" ht="15">
      <c r="C33" s="397" t="s">
        <v>218</v>
      </c>
      <c r="D33" s="398"/>
      <c r="E33" s="398"/>
      <c r="F33" s="399">
        <f>F31+F32</f>
        <v>7651257.1828800002</v>
      </c>
      <c r="G33" s="399"/>
      <c r="H33" s="400"/>
    </row>
  </sheetData>
  <mergeCells count="51">
    <mergeCell ref="C3:H3"/>
    <mergeCell ref="C7:E7"/>
    <mergeCell ref="F7:H7"/>
    <mergeCell ref="C4:H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8:E18"/>
    <mergeCell ref="F18:H18"/>
    <mergeCell ref="C11:E11"/>
    <mergeCell ref="F11:H11"/>
    <mergeCell ref="C12:E12"/>
    <mergeCell ref="F12:H12"/>
    <mergeCell ref="C13:E13"/>
    <mergeCell ref="F13:H13"/>
    <mergeCell ref="C15:H15"/>
    <mergeCell ref="C16:E16"/>
    <mergeCell ref="F16:H16"/>
    <mergeCell ref="C17:E17"/>
    <mergeCell ref="F17:H17"/>
    <mergeCell ref="C25:E25"/>
    <mergeCell ref="F25:H25"/>
    <mergeCell ref="C19:E19"/>
    <mergeCell ref="F19:H19"/>
    <mergeCell ref="C20:E20"/>
    <mergeCell ref="F20:H20"/>
    <mergeCell ref="C21:E21"/>
    <mergeCell ref="F21:H21"/>
    <mergeCell ref="C22:E22"/>
    <mergeCell ref="F22:H22"/>
    <mergeCell ref="C23:H23"/>
    <mergeCell ref="C24:E24"/>
    <mergeCell ref="F24:H24"/>
    <mergeCell ref="C32:E32"/>
    <mergeCell ref="F32:H32"/>
    <mergeCell ref="C33:E33"/>
    <mergeCell ref="F33:H33"/>
    <mergeCell ref="C26:E26"/>
    <mergeCell ref="F26:H26"/>
    <mergeCell ref="C27:E27"/>
    <mergeCell ref="F27:H27"/>
    <mergeCell ref="C30:H30"/>
    <mergeCell ref="C31:E31"/>
    <mergeCell ref="F31:H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H18"/>
  <sheetViews>
    <sheetView workbookViewId="0">
      <selection activeCell="C6" sqref="C6:H11"/>
    </sheetView>
  </sheetViews>
  <sheetFormatPr defaultRowHeight="12.75"/>
  <cols>
    <col min="3" max="3" width="15.42578125" bestFit="1" customWidth="1"/>
  </cols>
  <sheetData>
    <row r="6" spans="3:8">
      <c r="C6" s="413" t="s">
        <v>219</v>
      </c>
      <c r="D6" s="413"/>
      <c r="E6" s="413"/>
      <c r="F6" s="413"/>
      <c r="G6" s="413"/>
      <c r="H6" s="413"/>
    </row>
    <row r="7" spans="3:8">
      <c r="C7" s="393" t="s">
        <v>220</v>
      </c>
      <c r="D7" s="394"/>
      <c r="E7" s="394"/>
      <c r="F7" s="417">
        <v>0.11749999999999999</v>
      </c>
      <c r="G7" s="417"/>
      <c r="H7" s="418"/>
    </row>
    <row r="8" spans="3:8">
      <c r="C8" s="393" t="s">
        <v>221</v>
      </c>
      <c r="D8" s="394"/>
      <c r="E8" s="394"/>
      <c r="F8" s="408">
        <v>24</v>
      </c>
      <c r="G8" s="408"/>
      <c r="H8" s="409"/>
    </row>
    <row r="9" spans="3:8">
      <c r="C9" s="393" t="s">
        <v>222</v>
      </c>
      <c r="D9" s="394"/>
      <c r="E9" s="394"/>
      <c r="F9" s="415">
        <f>1/((1+F7)^(F8/12))</f>
        <v>0.80076473031745321</v>
      </c>
      <c r="G9" s="415"/>
      <c r="H9" s="416"/>
    </row>
    <row r="10" spans="3:8">
      <c r="C10" s="393" t="s">
        <v>223</v>
      </c>
      <c r="D10" s="394"/>
      <c r="E10" s="394"/>
      <c r="F10" s="395">
        <f>SANEAMENTO!F18</f>
        <v>6051257.1828800002</v>
      </c>
      <c r="G10" s="395"/>
      <c r="H10" s="396"/>
    </row>
    <row r="11" spans="3:8">
      <c r="C11" s="419" t="s">
        <v>224</v>
      </c>
      <c r="D11" s="420"/>
      <c r="E11" s="420"/>
      <c r="F11" s="421">
        <f>F10/((1+F7)^(F8/12))</f>
        <v>4845633.3261304554</v>
      </c>
      <c r="G11" s="421"/>
      <c r="H11" s="422"/>
    </row>
    <row r="13" spans="3:8">
      <c r="C13" s="401" t="s">
        <v>219</v>
      </c>
      <c r="D13" s="401"/>
      <c r="E13" s="401"/>
      <c r="F13" s="401"/>
      <c r="G13" s="401"/>
      <c r="H13" s="401"/>
    </row>
    <row r="14" spans="3:8">
      <c r="C14" s="393" t="s">
        <v>220</v>
      </c>
      <c r="D14" s="394"/>
      <c r="E14" s="394"/>
      <c r="F14" s="417">
        <v>0.12767999999999999</v>
      </c>
      <c r="G14" s="417"/>
      <c r="H14" s="418"/>
    </row>
    <row r="15" spans="3:8">
      <c r="C15" s="393" t="s">
        <v>221</v>
      </c>
      <c r="D15" s="394"/>
      <c r="E15" s="394"/>
      <c r="F15" s="408">
        <v>36</v>
      </c>
      <c r="G15" s="408"/>
      <c r="H15" s="409"/>
    </row>
    <row r="16" spans="3:8">
      <c r="C16" s="393" t="s">
        <v>222</v>
      </c>
      <c r="D16" s="394"/>
      <c r="E16" s="394"/>
      <c r="F16" s="415">
        <f>1/((1+F14)^(F15/12))</f>
        <v>0.69733644889224644</v>
      </c>
      <c r="G16" s="415"/>
      <c r="H16" s="416"/>
    </row>
    <row r="17" spans="3:8">
      <c r="C17" s="393" t="s">
        <v>223</v>
      </c>
      <c r="D17" s="394"/>
      <c r="E17" s="394"/>
      <c r="F17" s="395">
        <f>SANEAMENTO!F27</f>
        <v>1600000</v>
      </c>
      <c r="G17" s="395"/>
      <c r="H17" s="396"/>
    </row>
    <row r="18" spans="3:8" ht="15">
      <c r="C18" s="397" t="s">
        <v>224</v>
      </c>
      <c r="D18" s="398"/>
      <c r="E18" s="398"/>
      <c r="F18" s="399">
        <f>F17/((1+F14)^(F15/12))</f>
        <v>1115738.3182275943</v>
      </c>
      <c r="G18" s="399"/>
      <c r="H18" s="400"/>
    </row>
  </sheetData>
  <mergeCells count="22">
    <mergeCell ref="C14:E14"/>
    <mergeCell ref="F14:H14"/>
    <mergeCell ref="C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C13:H13"/>
    <mergeCell ref="C18:E18"/>
    <mergeCell ref="F18:H18"/>
    <mergeCell ref="C15:E15"/>
    <mergeCell ref="F15:H15"/>
    <mergeCell ref="C16:E16"/>
    <mergeCell ref="F16:H16"/>
    <mergeCell ref="C17:E17"/>
    <mergeCell ref="F17:H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K58"/>
  <sheetViews>
    <sheetView view="pageBreakPreview" zoomScaleNormal="100" zoomScaleSheetLayoutView="100" workbookViewId="0">
      <selection activeCell="B10" sqref="B10:G10"/>
    </sheetView>
  </sheetViews>
  <sheetFormatPr defaultColWidth="9.140625" defaultRowHeight="12.75"/>
  <cols>
    <col min="1" max="1" width="9.140625" style="67" customWidth="1"/>
    <col min="2" max="2" width="2.7109375" style="67" customWidth="1"/>
    <col min="3" max="3" width="2.28515625" style="67" customWidth="1"/>
    <col min="4" max="4" width="5.42578125" style="67" customWidth="1"/>
    <col min="5" max="7" width="1.85546875" style="67" customWidth="1"/>
    <col min="8" max="11" width="2.42578125" style="67" customWidth="1"/>
    <col min="12" max="12" width="2" style="67" customWidth="1"/>
    <col min="13" max="13" width="2.85546875" style="67" customWidth="1"/>
    <col min="14" max="14" width="2.5703125" style="67" customWidth="1"/>
    <col min="15" max="15" width="6.140625" style="67" customWidth="1"/>
    <col min="16" max="16" width="2.85546875" style="67" customWidth="1"/>
    <col min="17" max="17" width="2.140625" style="67" bestFit="1" customWidth="1"/>
    <col min="18" max="18" width="2.85546875" style="67" customWidth="1"/>
    <col min="19" max="19" width="3" style="67" customWidth="1"/>
    <col min="20" max="20" width="9.85546875" style="67" customWidth="1"/>
    <col min="21" max="21" width="11.7109375" style="67" customWidth="1"/>
    <col min="22" max="25" width="3.85546875" style="67" customWidth="1"/>
    <col min="26" max="26" width="6.28515625" style="67" customWidth="1"/>
    <col min="27" max="29" width="3.85546875" style="67" customWidth="1"/>
    <col min="30" max="30" width="7.85546875" style="67" customWidth="1"/>
    <col min="31" max="31" width="3.85546875" style="67" hidden="1" customWidth="1"/>
    <col min="32" max="32" width="2.42578125" style="67" customWidth="1"/>
    <col min="33" max="33" width="12.85546875" style="67" customWidth="1"/>
    <col min="34" max="34" width="3.7109375" style="67" customWidth="1"/>
    <col min="35" max="36" width="3" style="67" customWidth="1"/>
    <col min="37" max="16384" width="9.140625" style="67"/>
  </cols>
  <sheetData>
    <row r="2" spans="2:31" s="68" customFormat="1" ht="17.100000000000001" customHeight="1">
      <c r="B2" s="432" t="s">
        <v>92</v>
      </c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  <c r="AA2" s="432"/>
      <c r="AB2" s="432"/>
      <c r="AC2" s="432"/>
      <c r="AD2" s="432"/>
    </row>
    <row r="3" spans="2:31" s="68" customFormat="1" ht="17.100000000000001" customHeight="1">
      <c r="B3" s="69"/>
      <c r="C3" s="69"/>
      <c r="D3" s="69"/>
      <c r="E3" s="69"/>
      <c r="F3" s="69"/>
      <c r="G3" s="70"/>
      <c r="I3" s="71"/>
      <c r="J3" s="72"/>
    </row>
    <row r="4" spans="2:31" s="68" customFormat="1" ht="17.100000000000001" customHeight="1">
      <c r="B4" s="67"/>
      <c r="C4" s="67"/>
    </row>
    <row r="5" spans="2:31" ht="15" customHeight="1"/>
    <row r="6" spans="2:31" ht="15.75" customHeight="1">
      <c r="B6" s="94" t="s">
        <v>66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73"/>
    </row>
    <row r="7" spans="2:31" ht="12.75" customHeight="1"/>
    <row r="8" spans="2:31" ht="15.75">
      <c r="B8" s="9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98" t="s">
        <v>18</v>
      </c>
      <c r="X8" s="48"/>
      <c r="Y8" s="48"/>
      <c r="Z8" s="48"/>
      <c r="AA8" s="48"/>
      <c r="AB8" s="48"/>
      <c r="AC8" s="48"/>
      <c r="AD8" s="48"/>
    </row>
    <row r="9" spans="2:31" ht="15">
      <c r="B9" s="48" t="s">
        <v>79</v>
      </c>
      <c r="C9" s="48"/>
      <c r="D9" s="48"/>
      <c r="E9" s="48"/>
      <c r="F9" s="48"/>
      <c r="G9" s="48"/>
      <c r="H9" s="48" t="s">
        <v>16</v>
      </c>
      <c r="I9" s="48" t="s">
        <v>17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 t="s">
        <v>19</v>
      </c>
      <c r="X9" s="48"/>
      <c r="Y9" s="48"/>
      <c r="Z9" s="48"/>
      <c r="AA9" s="48"/>
      <c r="AB9" s="48"/>
      <c r="AC9" s="99"/>
      <c r="AD9" s="99"/>
    </row>
    <row r="10" spans="2:31" ht="15">
      <c r="B10" s="433"/>
      <c r="C10" s="433"/>
      <c r="D10" s="433"/>
      <c r="E10" s="433"/>
      <c r="F10" s="433"/>
      <c r="G10" s="433"/>
      <c r="H10" s="48" t="s">
        <v>16</v>
      </c>
      <c r="I10" s="434">
        <f>IF(B10=" ","",W11)</f>
        <v>18942.95</v>
      </c>
      <c r="J10" s="427"/>
      <c r="K10" s="427"/>
      <c r="L10" s="427"/>
      <c r="M10" s="427"/>
      <c r="N10" s="427"/>
      <c r="O10" s="427"/>
      <c r="P10" s="427"/>
      <c r="Q10" s="48" t="s">
        <v>14</v>
      </c>
      <c r="R10" s="435">
        <f>IF(B10=" ","",I10*B10)</f>
        <v>0</v>
      </c>
      <c r="S10" s="435"/>
      <c r="T10" s="435"/>
      <c r="U10" s="435"/>
      <c r="V10" s="48"/>
      <c r="W10" s="48" t="s">
        <v>20</v>
      </c>
      <c r="X10" s="48"/>
      <c r="Y10" s="48"/>
      <c r="Z10" s="48"/>
      <c r="AA10" s="48"/>
      <c r="AB10" s="48"/>
      <c r="AC10" s="99"/>
      <c r="AD10" s="99"/>
    </row>
    <row r="11" spans="2:31" ht="15"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100"/>
      <c r="S11" s="100"/>
      <c r="T11" s="48"/>
      <c r="U11" s="100"/>
      <c r="V11" s="48"/>
      <c r="W11" s="435">
        <f>'PLANILHA HOMOG'!Q17</f>
        <v>18942.95</v>
      </c>
      <c r="X11" s="435"/>
      <c r="Y11" s="435"/>
      <c r="Z11" s="435"/>
      <c r="AA11" s="48"/>
      <c r="AB11" s="48"/>
      <c r="AC11" s="99"/>
      <c r="AD11" s="99"/>
    </row>
    <row r="12" spans="2:31" ht="18">
      <c r="B12" s="49"/>
      <c r="C12" s="49"/>
      <c r="D12" s="49"/>
      <c r="E12" s="100"/>
      <c r="F12" s="101"/>
      <c r="G12" s="101"/>
      <c r="H12" s="102"/>
      <c r="I12" s="102"/>
      <c r="J12" s="102"/>
      <c r="K12" s="102"/>
      <c r="L12" s="103"/>
      <c r="M12" s="48"/>
      <c r="N12" s="48"/>
      <c r="O12" s="48" t="s">
        <v>10</v>
      </c>
      <c r="P12" s="48"/>
      <c r="Q12" s="48" t="s">
        <v>14</v>
      </c>
      <c r="R12" s="436">
        <f>R10</f>
        <v>0</v>
      </c>
      <c r="S12" s="436"/>
      <c r="T12" s="436"/>
      <c r="U12" s="436"/>
      <c r="V12" s="48"/>
      <c r="W12" s="48"/>
      <c r="X12" s="48"/>
      <c r="Y12" s="48"/>
      <c r="Z12" s="48"/>
      <c r="AA12" s="48"/>
      <c r="AB12" s="48"/>
      <c r="AC12" s="99"/>
      <c r="AD12" s="99"/>
    </row>
    <row r="13" spans="2:31">
      <c r="AC13" s="74"/>
      <c r="AD13" s="74"/>
    </row>
    <row r="14" spans="2:31">
      <c r="B14" s="70" t="s">
        <v>21</v>
      </c>
      <c r="V14" s="80"/>
      <c r="W14" s="437"/>
      <c r="X14" s="437"/>
      <c r="Y14" s="437"/>
      <c r="Z14" s="437"/>
      <c r="AA14" s="70"/>
      <c r="AB14" s="70"/>
      <c r="AC14" s="81"/>
      <c r="AD14" s="81"/>
    </row>
    <row r="15" spans="2:31">
      <c r="B15" s="67" t="s">
        <v>80</v>
      </c>
      <c r="H15" s="67" t="s">
        <v>16</v>
      </c>
      <c r="I15" s="67" t="s">
        <v>17</v>
      </c>
      <c r="V15" s="80"/>
      <c r="W15" s="80"/>
      <c r="X15" s="80"/>
      <c r="Y15" s="80"/>
      <c r="AA15" s="82"/>
      <c r="AB15" s="82"/>
      <c r="AC15" s="83"/>
      <c r="AD15" s="83"/>
    </row>
    <row r="16" spans="2:31">
      <c r="B16" s="443" t="s">
        <v>54</v>
      </c>
      <c r="C16" s="443"/>
      <c r="D16" s="443"/>
      <c r="E16" s="443"/>
      <c r="F16" s="443"/>
      <c r="G16" s="443"/>
      <c r="H16" s="67" t="s">
        <v>16</v>
      </c>
      <c r="I16" s="444" t="str">
        <f>IF(B16=" ","",W11)</f>
        <v/>
      </c>
      <c r="J16" s="445"/>
      <c r="K16" s="445"/>
      <c r="L16" s="445"/>
      <c r="M16" s="445"/>
      <c r="N16" s="445"/>
      <c r="O16" s="445"/>
      <c r="P16" s="445"/>
      <c r="Q16" s="67" t="s">
        <v>14</v>
      </c>
      <c r="R16" s="437" t="str">
        <f>IF(B16=" ","",I16*B16)</f>
        <v/>
      </c>
      <c r="S16" s="437"/>
      <c r="T16" s="437"/>
      <c r="U16" s="437"/>
      <c r="V16" s="80"/>
      <c r="AA16" s="82"/>
      <c r="AB16" s="82"/>
      <c r="AC16" s="83"/>
      <c r="AD16" s="83"/>
    </row>
    <row r="17" spans="2:37">
      <c r="R17" s="75"/>
      <c r="S17" s="75"/>
      <c r="U17" s="75"/>
      <c r="V17" s="80"/>
      <c r="W17" s="437"/>
      <c r="X17" s="437"/>
      <c r="Y17" s="437"/>
      <c r="Z17" s="437"/>
      <c r="AA17" s="82"/>
      <c r="AB17" s="82"/>
      <c r="AC17" s="83"/>
      <c r="AD17" s="83"/>
    </row>
    <row r="18" spans="2:37">
      <c r="B18" s="76"/>
      <c r="C18" s="76"/>
      <c r="D18" s="76"/>
      <c r="E18" s="75"/>
      <c r="F18" s="77"/>
      <c r="G18" s="77"/>
      <c r="H18" s="78"/>
      <c r="I18" s="78"/>
      <c r="J18" s="78"/>
      <c r="K18" s="78"/>
      <c r="L18" s="79"/>
      <c r="O18" s="67" t="s">
        <v>10</v>
      </c>
      <c r="Q18" s="67" t="s">
        <v>14</v>
      </c>
      <c r="R18" s="446" t="str">
        <f>R16</f>
        <v/>
      </c>
      <c r="S18" s="446"/>
      <c r="T18" s="446"/>
      <c r="U18" s="446"/>
      <c r="V18" s="80"/>
      <c r="W18" s="80"/>
      <c r="X18" s="80"/>
      <c r="Y18" s="80"/>
      <c r="AA18" s="82"/>
      <c r="AB18" s="82"/>
      <c r="AC18" s="83"/>
      <c r="AD18" s="83"/>
    </row>
    <row r="19" spans="2:37"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U19" s="80"/>
      <c r="V19" s="80"/>
      <c r="W19" s="80"/>
      <c r="X19" s="80"/>
      <c r="Y19" s="80"/>
      <c r="AA19" s="82"/>
      <c r="AB19" s="82"/>
      <c r="AC19" s="83"/>
      <c r="AD19" s="83"/>
    </row>
    <row r="20" spans="2:37" ht="15.75" customHeight="1">
      <c r="B20" s="94" t="s">
        <v>67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73"/>
      <c r="AK20" s="85"/>
    </row>
    <row r="21" spans="2:37" ht="16.5" customHeight="1"/>
    <row r="22" spans="2:37" s="86" customFormat="1" ht="13.5" customHeight="1">
      <c r="B22" s="86" t="s">
        <v>81</v>
      </c>
      <c r="V22" s="86" t="s">
        <v>15</v>
      </c>
      <c r="W22" s="441">
        <f>R12</f>
        <v>0</v>
      </c>
      <c r="X22" s="441"/>
      <c r="Y22" s="441"/>
      <c r="Z22" s="441"/>
    </row>
    <row r="23" spans="2:37" s="86" customFormat="1" ht="13.5" customHeight="1">
      <c r="B23" s="86" t="s">
        <v>82</v>
      </c>
      <c r="V23" s="86" t="s">
        <v>15</v>
      </c>
      <c r="W23" s="439" t="str">
        <f>R16</f>
        <v/>
      </c>
      <c r="X23" s="439"/>
      <c r="Y23" s="439"/>
      <c r="Z23" s="439"/>
    </row>
    <row r="24" spans="2:37" s="87" customFormat="1" ht="13.5" customHeight="1">
      <c r="B24" s="87" t="s">
        <v>83</v>
      </c>
      <c r="V24" s="87" t="s">
        <v>15</v>
      </c>
      <c r="W24" s="442">
        <f>SUM(W22:W23)</f>
        <v>0</v>
      </c>
      <c r="X24" s="442"/>
      <c r="Y24" s="442"/>
      <c r="Z24" s="442"/>
    </row>
    <row r="25" spans="2:37" s="86" customFormat="1" ht="13.5" customHeight="1">
      <c r="B25" s="86" t="s">
        <v>84</v>
      </c>
      <c r="V25" s="86" t="s">
        <v>15</v>
      </c>
      <c r="W25" s="439">
        <f>'LAUDO DE AVALIAÇÃO 12-12.4'!H9</f>
        <v>0</v>
      </c>
      <c r="X25" s="439"/>
      <c r="Y25" s="439"/>
      <c r="Z25" s="439"/>
    </row>
    <row r="26" spans="2:37" s="86" customFormat="1" ht="13.5" customHeight="1">
      <c r="B26" s="86" t="s">
        <v>85</v>
      </c>
      <c r="V26" s="86" t="s">
        <v>15</v>
      </c>
      <c r="W26" s="439">
        <f>'LAUDO DE AVALIAÇÃO 12-12.4'!H14</f>
        <v>0</v>
      </c>
      <c r="X26" s="439"/>
      <c r="Y26" s="439"/>
      <c r="Z26" s="439"/>
    </row>
    <row r="27" spans="2:37" s="86" customFormat="1" ht="13.5" customHeight="1">
      <c r="B27" s="86" t="s">
        <v>86</v>
      </c>
      <c r="V27" s="86" t="s">
        <v>15</v>
      </c>
      <c r="W27" s="439">
        <f>'LAUDO DE AVALIAÇÃO 12-12.4'!H19</f>
        <v>0</v>
      </c>
      <c r="X27" s="439"/>
      <c r="Y27" s="439"/>
      <c r="Z27" s="439"/>
    </row>
    <row r="28" spans="2:37" s="86" customFormat="1" ht="13.5" customHeight="1">
      <c r="B28" s="86" t="s">
        <v>87</v>
      </c>
      <c r="V28" s="86" t="s">
        <v>15</v>
      </c>
      <c r="W28" s="439">
        <f>'LAUDO DE AVALIAÇÃO 12-12.4'!H24</f>
        <v>0</v>
      </c>
      <c r="X28" s="439"/>
      <c r="Y28" s="439"/>
      <c r="Z28" s="439"/>
    </row>
    <row r="29" spans="2:37" s="86" customFormat="1" ht="13.5" customHeight="1">
      <c r="B29" s="86" t="s">
        <v>88</v>
      </c>
      <c r="V29" s="86" t="s">
        <v>15</v>
      </c>
      <c r="W29" s="439">
        <f>'LAUDO DE AVALIAÇÃO 13'!G8</f>
        <v>0</v>
      </c>
      <c r="X29" s="439"/>
      <c r="Y29" s="439"/>
      <c r="Z29" s="439"/>
    </row>
    <row r="30" spans="2:37" s="87" customFormat="1" ht="13.5" customHeight="1">
      <c r="B30" s="87" t="s">
        <v>89</v>
      </c>
      <c r="V30" s="87" t="s">
        <v>15</v>
      </c>
      <c r="W30" s="447">
        <f>SUM(W25:Z29)</f>
        <v>0</v>
      </c>
      <c r="X30" s="447"/>
      <c r="Y30" s="447"/>
      <c r="Z30" s="447"/>
      <c r="AG30" s="86"/>
    </row>
    <row r="31" spans="2:37" s="87" customFormat="1" ht="13.5" customHeight="1">
      <c r="B31" s="87" t="s">
        <v>90</v>
      </c>
      <c r="V31" s="88" t="s">
        <v>15</v>
      </c>
      <c r="W31" s="440">
        <f>W30+W24</f>
        <v>0</v>
      </c>
      <c r="X31" s="440"/>
      <c r="Y31" s="440"/>
      <c r="Z31" s="440"/>
      <c r="AG31" s="89"/>
    </row>
    <row r="32" spans="2:37" s="86" customFormat="1" ht="11.25" customHeight="1">
      <c r="B32" s="86" t="s">
        <v>91</v>
      </c>
      <c r="K32" s="428">
        <v>43009</v>
      </c>
      <c r="L32" s="429"/>
      <c r="M32" s="429"/>
      <c r="N32" s="429"/>
      <c r="O32" s="429"/>
      <c r="P32" s="429"/>
      <c r="Q32" s="429"/>
      <c r="R32" s="429"/>
      <c r="S32" s="429"/>
      <c r="T32" s="429"/>
      <c r="U32" s="429"/>
      <c r="V32" s="429"/>
      <c r="W32" s="429"/>
      <c r="X32" s="429"/>
      <c r="Y32" s="429"/>
      <c r="Z32" s="429"/>
      <c r="AG32" s="89"/>
    </row>
    <row r="33" spans="2:37" s="87" customFormat="1" ht="17.25" customHeight="1">
      <c r="O33" s="424" t="s">
        <v>64</v>
      </c>
      <c r="P33" s="424"/>
      <c r="Q33" s="424"/>
      <c r="R33" s="424"/>
      <c r="S33" s="424"/>
      <c r="T33" s="424"/>
      <c r="U33" s="424"/>
      <c r="V33" s="424"/>
      <c r="W33" s="425" t="s">
        <v>65</v>
      </c>
      <c r="X33" s="425"/>
      <c r="Y33" s="425"/>
      <c r="Z33" s="425"/>
      <c r="AA33" s="425"/>
      <c r="AB33" s="425"/>
      <c r="AC33" s="425"/>
      <c r="AD33" s="425"/>
      <c r="AG33" s="90"/>
    </row>
    <row r="34" spans="2:37" s="86" customFormat="1" ht="19.5" customHeight="1">
      <c r="O34" s="48"/>
      <c r="P34" s="48"/>
      <c r="Q34" s="426">
        <f>W31*0.9</f>
        <v>0</v>
      </c>
      <c r="R34" s="427"/>
      <c r="S34" s="427"/>
      <c r="T34" s="427"/>
      <c r="U34" s="48"/>
      <c r="V34" s="48"/>
      <c r="W34" s="48"/>
      <c r="X34" s="48"/>
      <c r="Y34" s="426">
        <f>W31*1.1</f>
        <v>0</v>
      </c>
      <c r="Z34" s="427"/>
      <c r="AA34" s="427"/>
      <c r="AB34" s="427"/>
      <c r="AC34" s="48"/>
      <c r="AD34" s="48"/>
      <c r="AG34" s="87"/>
      <c r="AH34" s="87"/>
      <c r="AI34" s="87"/>
      <c r="AJ34" s="87"/>
      <c r="AK34" s="87"/>
    </row>
    <row r="35" spans="2:37" s="86" customFormat="1" ht="19.5" customHeight="1">
      <c r="Q35" s="95"/>
      <c r="R35" s="96"/>
      <c r="S35" s="96"/>
      <c r="T35" s="96"/>
      <c r="Y35" s="95"/>
      <c r="Z35" s="96"/>
      <c r="AA35" s="96"/>
      <c r="AB35" s="96"/>
      <c r="AG35" s="87"/>
      <c r="AH35" s="87"/>
      <c r="AI35" s="87"/>
      <c r="AJ35" s="87"/>
      <c r="AK35" s="87"/>
    </row>
    <row r="36" spans="2:37" ht="15.75" customHeight="1">
      <c r="B36" s="94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73"/>
      <c r="AG36" s="87"/>
      <c r="AH36" s="87"/>
      <c r="AI36" s="87"/>
      <c r="AJ36" s="87"/>
      <c r="AK36" s="87"/>
    </row>
    <row r="37" spans="2:37" ht="10.5" customHeight="1"/>
    <row r="38" spans="2:37" ht="14.25" customHeight="1">
      <c r="B38" s="423"/>
      <c r="C38" s="423"/>
    </row>
    <row r="39" spans="2:37" ht="14.25" customHeight="1">
      <c r="B39" s="423"/>
      <c r="C39" s="423"/>
    </row>
    <row r="40" spans="2:37" ht="14.25" customHeight="1">
      <c r="B40" s="423"/>
      <c r="C40" s="423"/>
    </row>
    <row r="41" spans="2:37" ht="14.25" customHeight="1">
      <c r="B41" s="423"/>
      <c r="C41" s="423"/>
    </row>
    <row r="42" spans="2:37" ht="14.25" customHeight="1">
      <c r="B42" s="423"/>
      <c r="C42" s="423"/>
    </row>
    <row r="43" spans="2:37" ht="14.25" customHeight="1">
      <c r="B43" s="423"/>
      <c r="C43" s="423"/>
    </row>
    <row r="44" spans="2:37" ht="14.25" customHeight="1">
      <c r="B44" s="423"/>
      <c r="C44" s="423"/>
    </row>
    <row r="45" spans="2:37" ht="15" customHeight="1">
      <c r="B45" s="97"/>
    </row>
    <row r="46" spans="2:37" ht="15.75" customHeight="1">
      <c r="B46" s="94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</row>
    <row r="47" spans="2:37" ht="15.75" customHeight="1">
      <c r="B47" s="94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</row>
    <row r="48" spans="2:37" ht="14.25" customHeight="1"/>
    <row r="49" spans="5:16" ht="13.5" customHeight="1">
      <c r="E49" s="431"/>
      <c r="F49" s="431"/>
      <c r="G49" s="431"/>
      <c r="H49" s="431"/>
      <c r="I49" s="92"/>
      <c r="J49" s="92"/>
      <c r="K49" s="92"/>
      <c r="L49" s="92"/>
      <c r="M49" s="92"/>
      <c r="N49" s="92"/>
      <c r="O49" s="92"/>
      <c r="P49" s="92"/>
    </row>
    <row r="50" spans="5:16" ht="13.5" customHeight="1">
      <c r="H50" s="93"/>
      <c r="I50" s="93"/>
      <c r="J50" s="93"/>
      <c r="K50" s="93"/>
      <c r="L50" s="93"/>
      <c r="M50" s="93"/>
      <c r="N50" s="93"/>
      <c r="O50" s="93"/>
      <c r="P50" s="93"/>
    </row>
    <row r="51" spans="5:16" ht="11.25" customHeight="1"/>
    <row r="52" spans="5:16" ht="14.25" customHeight="1">
      <c r="H52" s="430"/>
      <c r="I52" s="430"/>
      <c r="J52" s="430"/>
      <c r="K52" s="430"/>
      <c r="L52" s="430"/>
      <c r="M52" s="430"/>
      <c r="N52" s="430"/>
      <c r="O52" s="430"/>
      <c r="P52" s="430"/>
    </row>
    <row r="53" spans="5:16" ht="6.75" customHeight="1"/>
    <row r="54" spans="5:16" ht="12.75" customHeight="1"/>
    <row r="55" spans="5:16" ht="13.5" customHeight="1">
      <c r="H55" s="438"/>
      <c r="I55" s="438"/>
      <c r="J55" s="438"/>
      <c r="K55" s="438"/>
      <c r="L55" s="438"/>
      <c r="M55" s="438"/>
      <c r="N55" s="438"/>
      <c r="O55" s="438"/>
      <c r="P55" s="438"/>
    </row>
    <row r="56" spans="5:16" ht="4.5" customHeight="1"/>
    <row r="57" spans="5:16" ht="14.25" customHeight="1">
      <c r="H57" s="430"/>
      <c r="I57" s="430"/>
      <c r="J57" s="430"/>
      <c r="K57" s="430"/>
      <c r="L57" s="430"/>
      <c r="M57" s="430"/>
      <c r="N57" s="430"/>
      <c r="O57" s="430"/>
      <c r="P57" s="430"/>
    </row>
    <row r="58" spans="5:16" ht="6.75" customHeight="1"/>
  </sheetData>
  <mergeCells count="38">
    <mergeCell ref="B16:G16"/>
    <mergeCell ref="I16:P16"/>
    <mergeCell ref="R16:U16"/>
    <mergeCell ref="R18:U18"/>
    <mergeCell ref="W30:Z30"/>
    <mergeCell ref="W31:Z31"/>
    <mergeCell ref="W22:Z22"/>
    <mergeCell ref="W23:Z23"/>
    <mergeCell ref="W24:Z24"/>
    <mergeCell ref="W25:Z25"/>
    <mergeCell ref="H57:P57"/>
    <mergeCell ref="E49:H49"/>
    <mergeCell ref="B2:AD2"/>
    <mergeCell ref="B10:G10"/>
    <mergeCell ref="I10:P10"/>
    <mergeCell ref="R10:U10"/>
    <mergeCell ref="R12:U12"/>
    <mergeCell ref="W11:Z11"/>
    <mergeCell ref="W14:Z14"/>
    <mergeCell ref="W17:Z17"/>
    <mergeCell ref="H52:P52"/>
    <mergeCell ref="H55:P55"/>
    <mergeCell ref="W26:Z26"/>
    <mergeCell ref="W27:Z27"/>
    <mergeCell ref="W28:Z28"/>
    <mergeCell ref="W29:Z29"/>
    <mergeCell ref="O33:V33"/>
    <mergeCell ref="W33:AD33"/>
    <mergeCell ref="Q34:T34"/>
    <mergeCell ref="Y34:AB34"/>
    <mergeCell ref="K32:Z32"/>
    <mergeCell ref="B44:C44"/>
    <mergeCell ref="B38:C38"/>
    <mergeCell ref="B39:C39"/>
    <mergeCell ref="B40:C40"/>
    <mergeCell ref="B41:C41"/>
    <mergeCell ref="B42:C42"/>
    <mergeCell ref="B43:C43"/>
  </mergeCells>
  <conditionalFormatting sqref="B10:G10 B16:G16">
    <cfRule type="cellIs" dxfId="0" priority="2" stopIfTrue="1" operator="equal">
      <formula>" "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1" orientation="portrait" r:id="rId1"/>
  <colBreaks count="2" manualBreakCount="2">
    <brk id="33" max="1048575" man="1"/>
    <brk id="34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4"/>
  <sheetViews>
    <sheetView view="pageBreakPreview" topLeftCell="A2" zoomScaleNormal="100" zoomScaleSheetLayoutView="100" workbookViewId="0">
      <selection activeCell="H24" sqref="H24"/>
    </sheetView>
  </sheetViews>
  <sheetFormatPr defaultColWidth="9.140625" defaultRowHeight="12.75"/>
  <cols>
    <col min="1" max="1" width="9.140625" style="1" customWidth="1"/>
    <col min="2" max="2" width="35.7109375" style="1" customWidth="1"/>
    <col min="3" max="3" width="11.42578125" style="1" customWidth="1"/>
    <col min="4" max="4" width="16.42578125" style="1" customWidth="1"/>
    <col min="5" max="5" width="9.7109375" style="1" bestFit="1" customWidth="1"/>
    <col min="6" max="6" width="15.7109375" style="1" customWidth="1"/>
    <col min="7" max="7" width="10.140625" style="1" customWidth="1"/>
    <col min="8" max="8" width="14.28515625" style="1" customWidth="1"/>
    <col min="9" max="16384" width="9.140625" style="1"/>
  </cols>
  <sheetData>
    <row r="1" spans="2:12" ht="17.100000000000001" customHeight="1">
      <c r="B1" s="464" t="s">
        <v>5</v>
      </c>
      <c r="C1" s="465"/>
      <c r="D1" s="465"/>
      <c r="E1" s="465"/>
      <c r="F1" s="465"/>
      <c r="G1" s="465"/>
      <c r="H1" s="466"/>
    </row>
    <row r="2" spans="2:12" ht="17.100000000000001" customHeight="1">
      <c r="B2" s="467"/>
      <c r="C2" s="468"/>
      <c r="D2" s="468"/>
      <c r="E2" s="468"/>
      <c r="F2" s="468"/>
      <c r="G2" s="468"/>
      <c r="H2" s="469"/>
      <c r="K2" s="7"/>
      <c r="L2" s="8"/>
    </row>
    <row r="3" spans="2:12" ht="17.100000000000001" customHeight="1">
      <c r="B3" s="50"/>
      <c r="C3" s="3"/>
      <c r="D3" s="3"/>
      <c r="E3" s="3"/>
      <c r="G3" s="6"/>
      <c r="H3" s="51"/>
    </row>
    <row r="4" spans="2:12">
      <c r="B4" s="52" t="s">
        <v>57</v>
      </c>
      <c r="C4" s="3"/>
      <c r="D4" s="3"/>
      <c r="E4" s="3"/>
      <c r="F4" s="4"/>
      <c r="G4" s="4"/>
      <c r="H4" s="53"/>
    </row>
    <row r="5" spans="2:12">
      <c r="B5" s="54" t="s">
        <v>58</v>
      </c>
      <c r="C5" s="9"/>
      <c r="D5" s="4"/>
      <c r="E5" s="4"/>
      <c r="F5" s="4"/>
      <c r="G5" s="4"/>
      <c r="H5" s="55"/>
    </row>
    <row r="6" spans="2:12" s="10" customFormat="1" ht="12.75" customHeight="1">
      <c r="B6" s="454" t="s">
        <v>6</v>
      </c>
      <c r="C6" s="456" t="s">
        <v>2</v>
      </c>
      <c r="D6" s="458" t="s">
        <v>7</v>
      </c>
      <c r="E6" s="470" t="s">
        <v>4</v>
      </c>
      <c r="F6" s="470" t="s">
        <v>3</v>
      </c>
      <c r="G6" s="462" t="s">
        <v>8</v>
      </c>
      <c r="H6" s="463"/>
    </row>
    <row r="7" spans="2:12" s="10" customFormat="1" ht="22.5" customHeight="1">
      <c r="B7" s="455"/>
      <c r="C7" s="457"/>
      <c r="D7" s="459"/>
      <c r="E7" s="471"/>
      <c r="F7" s="471"/>
      <c r="G7" s="47" t="s">
        <v>9</v>
      </c>
      <c r="H7" s="56" t="s">
        <v>10</v>
      </c>
    </row>
    <row r="8" spans="2:12">
      <c r="B8" s="57"/>
      <c r="C8" s="44"/>
      <c r="D8" s="45"/>
      <c r="E8" s="46"/>
      <c r="F8" s="11"/>
      <c r="G8" s="12"/>
      <c r="H8" s="58">
        <f>TRUNC(F8*G8,2)</f>
        <v>0</v>
      </c>
    </row>
    <row r="9" spans="2:12">
      <c r="B9" s="451" t="s">
        <v>10</v>
      </c>
      <c r="C9" s="452"/>
      <c r="D9" s="452"/>
      <c r="E9" s="452"/>
      <c r="F9" s="452"/>
      <c r="G9" s="453"/>
      <c r="H9" s="59">
        <f>TRUNC(SUM(H8:H8),2)</f>
        <v>0</v>
      </c>
    </row>
    <row r="10" spans="2:12">
      <c r="B10" s="60" t="s">
        <v>59</v>
      </c>
      <c r="C10" s="16"/>
      <c r="D10" s="3"/>
      <c r="E10" s="3"/>
      <c r="F10" s="3"/>
      <c r="G10" s="3"/>
      <c r="H10" s="61"/>
    </row>
    <row r="11" spans="2:12" ht="12.75" customHeight="1">
      <c r="B11" s="454" t="s">
        <v>6</v>
      </c>
      <c r="C11" s="456" t="s">
        <v>2</v>
      </c>
      <c r="D11" s="458" t="s">
        <v>7</v>
      </c>
      <c r="E11" s="460" t="s">
        <v>11</v>
      </c>
      <c r="F11" s="460" t="s">
        <v>3</v>
      </c>
      <c r="G11" s="462" t="s">
        <v>8</v>
      </c>
      <c r="H11" s="463"/>
    </row>
    <row r="12" spans="2:12" ht="22.5" customHeight="1">
      <c r="B12" s="455"/>
      <c r="C12" s="457"/>
      <c r="D12" s="459"/>
      <c r="E12" s="461"/>
      <c r="F12" s="461"/>
      <c r="G12" s="47" t="s">
        <v>9</v>
      </c>
      <c r="H12" s="56" t="s">
        <v>10</v>
      </c>
    </row>
    <row r="13" spans="2:12">
      <c r="B13" s="62"/>
      <c r="C13" s="17"/>
      <c r="D13" s="18"/>
      <c r="E13" s="19"/>
      <c r="F13" s="19"/>
      <c r="G13" s="20"/>
      <c r="H13" s="58">
        <f>TRUNC(F13*G13,2)</f>
        <v>0</v>
      </c>
    </row>
    <row r="14" spans="2:12">
      <c r="B14" s="451" t="s">
        <v>10</v>
      </c>
      <c r="C14" s="452"/>
      <c r="D14" s="452"/>
      <c r="E14" s="452"/>
      <c r="F14" s="452"/>
      <c r="G14" s="453"/>
      <c r="H14" s="63">
        <f>TRUNC(SUM(H13:H13),2)</f>
        <v>0</v>
      </c>
    </row>
    <row r="15" spans="2:12">
      <c r="B15" s="60" t="s">
        <v>60</v>
      </c>
      <c r="C15" s="16"/>
      <c r="D15" s="3"/>
      <c r="E15" s="3"/>
      <c r="F15" s="3"/>
      <c r="G15" s="3"/>
      <c r="H15" s="53"/>
    </row>
    <row r="16" spans="2:12" ht="12.75" customHeight="1">
      <c r="B16" s="454" t="s">
        <v>6</v>
      </c>
      <c r="C16" s="456" t="s">
        <v>72</v>
      </c>
      <c r="D16" s="458" t="s">
        <v>7</v>
      </c>
      <c r="E16" s="460" t="s">
        <v>11</v>
      </c>
      <c r="F16" s="460" t="s">
        <v>3</v>
      </c>
      <c r="G16" s="462" t="s">
        <v>8</v>
      </c>
      <c r="H16" s="463"/>
    </row>
    <row r="17" spans="2:8" ht="21" customHeight="1">
      <c r="B17" s="455"/>
      <c r="C17" s="457"/>
      <c r="D17" s="459"/>
      <c r="E17" s="461"/>
      <c r="F17" s="461"/>
      <c r="G17" s="22" t="s">
        <v>9</v>
      </c>
      <c r="H17" s="56" t="s">
        <v>10</v>
      </c>
    </row>
    <row r="18" spans="2:8" s="10" customFormat="1">
      <c r="B18" s="104" t="s">
        <v>94</v>
      </c>
      <c r="C18" s="13"/>
      <c r="D18" s="21"/>
      <c r="E18" s="105"/>
      <c r="F18" s="15"/>
      <c r="G18" s="14"/>
      <c r="H18" s="58">
        <f>TRUNC(F18*G18,2)</f>
        <v>0</v>
      </c>
    </row>
    <row r="19" spans="2:8">
      <c r="B19" s="451" t="s">
        <v>10</v>
      </c>
      <c r="C19" s="452"/>
      <c r="D19" s="452"/>
      <c r="E19" s="452"/>
      <c r="F19" s="452"/>
      <c r="G19" s="453"/>
      <c r="H19" s="64">
        <f>TRUNC(SUM(H18:H18),2)</f>
        <v>0</v>
      </c>
    </row>
    <row r="20" spans="2:8">
      <c r="B20" s="60" t="s">
        <v>61</v>
      </c>
      <c r="C20" s="16"/>
      <c r="D20" s="3"/>
      <c r="E20" s="3"/>
      <c r="F20" s="3"/>
      <c r="G20" s="3"/>
      <c r="H20" s="53"/>
    </row>
    <row r="21" spans="2:8" ht="12.75" customHeight="1">
      <c r="B21" s="454" t="s">
        <v>6</v>
      </c>
      <c r="C21" s="456" t="s">
        <v>2</v>
      </c>
      <c r="D21" s="458" t="s">
        <v>7</v>
      </c>
      <c r="E21" s="460" t="s">
        <v>11</v>
      </c>
      <c r="F21" s="460" t="s">
        <v>3</v>
      </c>
      <c r="G21" s="462" t="s">
        <v>8</v>
      </c>
      <c r="H21" s="463"/>
    </row>
    <row r="22" spans="2:8" ht="21.75" customHeight="1">
      <c r="B22" s="455"/>
      <c r="C22" s="457"/>
      <c r="D22" s="459"/>
      <c r="E22" s="461"/>
      <c r="F22" s="461"/>
      <c r="G22" s="47" t="s">
        <v>9</v>
      </c>
      <c r="H22" s="56" t="s">
        <v>10</v>
      </c>
    </row>
    <row r="23" spans="2:8">
      <c r="B23" s="65"/>
      <c r="C23" s="23"/>
      <c r="D23" s="24"/>
      <c r="E23" s="25"/>
      <c r="F23" s="25"/>
      <c r="G23" s="26"/>
      <c r="H23" s="58">
        <f>TRUNC(F23*G23,2)</f>
        <v>0</v>
      </c>
    </row>
    <row r="24" spans="2:8" ht="13.5" thickBot="1">
      <c r="B24" s="448" t="s">
        <v>10</v>
      </c>
      <c r="C24" s="449"/>
      <c r="D24" s="449"/>
      <c r="E24" s="449"/>
      <c r="F24" s="449"/>
      <c r="G24" s="450"/>
      <c r="H24" s="66"/>
    </row>
  </sheetData>
  <mergeCells count="30">
    <mergeCell ref="B1:H1"/>
    <mergeCell ref="B2:H2"/>
    <mergeCell ref="B6:B7"/>
    <mergeCell ref="C6:C7"/>
    <mergeCell ref="D6:D7"/>
    <mergeCell ref="E6:E7"/>
    <mergeCell ref="F6:F7"/>
    <mergeCell ref="G6:H6"/>
    <mergeCell ref="B9:G9"/>
    <mergeCell ref="B11:B12"/>
    <mergeCell ref="C11:C12"/>
    <mergeCell ref="D11:D12"/>
    <mergeCell ref="E11:E12"/>
    <mergeCell ref="F11:F12"/>
    <mergeCell ref="G11:H11"/>
    <mergeCell ref="B14:G14"/>
    <mergeCell ref="B16:B17"/>
    <mergeCell ref="C16:C17"/>
    <mergeCell ref="D16:D17"/>
    <mergeCell ref="E16:E17"/>
    <mergeCell ref="F16:F17"/>
    <mergeCell ref="G16:H16"/>
    <mergeCell ref="B24:G24"/>
    <mergeCell ref="B19:G19"/>
    <mergeCell ref="B21:B22"/>
    <mergeCell ref="C21:C22"/>
    <mergeCell ref="D21:D22"/>
    <mergeCell ref="E21:E22"/>
    <mergeCell ref="F21:F22"/>
    <mergeCell ref="G21:H21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8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"/>
  <sheetViews>
    <sheetView view="pageBreakPreview" zoomScale="145" zoomScaleNormal="100" zoomScaleSheetLayoutView="145" workbookViewId="0">
      <selection activeCell="F13" sqref="F13"/>
    </sheetView>
  </sheetViews>
  <sheetFormatPr defaultColWidth="9.140625" defaultRowHeight="12.75"/>
  <cols>
    <col min="1" max="1" width="9.140625" style="28"/>
    <col min="2" max="2" width="58.42578125" style="28" customWidth="1"/>
    <col min="3" max="3" width="6.7109375" style="28" customWidth="1"/>
    <col min="4" max="4" width="7.85546875" style="28" customWidth="1"/>
    <col min="5" max="5" width="8.85546875" style="28" customWidth="1"/>
    <col min="6" max="6" width="10.140625" style="28" customWidth="1"/>
    <col min="7" max="7" width="12.7109375" style="28" customWidth="1"/>
    <col min="8" max="16384" width="9.140625" style="28"/>
  </cols>
  <sheetData>
    <row r="1" spans="2:13" s="1" customFormat="1" ht="17.100000000000001" customHeight="1">
      <c r="B1" s="472" t="s">
        <v>5</v>
      </c>
      <c r="C1" s="472"/>
      <c r="D1" s="472"/>
      <c r="E1" s="472"/>
      <c r="F1" s="472"/>
      <c r="G1" s="472"/>
      <c r="H1" s="41"/>
      <c r="I1" s="41"/>
    </row>
    <row r="2" spans="2:13" s="1" customFormat="1" ht="17.100000000000001" customHeight="1">
      <c r="B2" s="43"/>
      <c r="C2" s="43"/>
      <c r="D2" s="43"/>
      <c r="E2" s="43"/>
      <c r="F2" s="43"/>
      <c r="G2" s="43"/>
      <c r="H2" s="42"/>
      <c r="I2" s="42"/>
      <c r="L2" s="7"/>
      <c r="M2" s="8"/>
    </row>
    <row r="3" spans="2:13" s="1" customFormat="1" ht="17.100000000000001" customHeight="1">
      <c r="B3" s="2"/>
      <c r="C3" s="2"/>
      <c r="D3" s="2"/>
      <c r="E3" s="2"/>
      <c r="I3" s="5"/>
    </row>
    <row r="4" spans="2:13" ht="13.5" customHeight="1">
      <c r="B4" s="473" t="s">
        <v>63</v>
      </c>
      <c r="C4" s="474"/>
      <c r="D4" s="474"/>
      <c r="E4" s="474"/>
      <c r="F4" s="474"/>
      <c r="G4" s="475"/>
      <c r="H4" s="27"/>
    </row>
    <row r="5" spans="2:13">
      <c r="B5" s="476" t="s">
        <v>12</v>
      </c>
      <c r="C5" s="478" t="s">
        <v>0</v>
      </c>
      <c r="D5" s="481" t="s">
        <v>62</v>
      </c>
      <c r="E5" s="478" t="s">
        <v>1</v>
      </c>
      <c r="F5" s="479" t="s">
        <v>13</v>
      </c>
      <c r="G5" s="480"/>
      <c r="I5" s="29"/>
    </row>
    <row r="6" spans="2:13">
      <c r="B6" s="477"/>
      <c r="C6" s="478"/>
      <c r="D6" s="482"/>
      <c r="E6" s="478"/>
      <c r="F6" s="30" t="s">
        <v>9</v>
      </c>
      <c r="G6" s="31" t="s">
        <v>10</v>
      </c>
    </row>
    <row r="7" spans="2:13">
      <c r="B7" s="33"/>
      <c r="C7" s="34"/>
      <c r="D7" s="34"/>
      <c r="E7" s="35"/>
      <c r="F7" s="35"/>
      <c r="G7" s="32"/>
    </row>
    <row r="8" spans="2:13" s="40" customFormat="1" ht="18.75" customHeight="1">
      <c r="B8" s="36" t="s">
        <v>10</v>
      </c>
      <c r="C8" s="36"/>
      <c r="D8" s="36"/>
      <c r="E8" s="37"/>
      <c r="F8" s="38"/>
      <c r="G8" s="39"/>
    </row>
  </sheetData>
  <mergeCells count="7">
    <mergeCell ref="B1:G1"/>
    <mergeCell ref="B4:G4"/>
    <mergeCell ref="B5:B6"/>
    <mergeCell ref="C5:C6"/>
    <mergeCell ref="E5:E6"/>
    <mergeCell ref="F5:G5"/>
    <mergeCell ref="D5:D6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</vt:i4>
      </vt:variant>
    </vt:vector>
  </HeadingPairs>
  <TitlesOfParts>
    <vt:vector size="13" baseType="lpstr">
      <vt:lpstr>CAPA DO LAUDO</vt:lpstr>
      <vt:lpstr>FATORES</vt:lpstr>
      <vt:lpstr>AREA UTIL </vt:lpstr>
      <vt:lpstr>AMOSTRAS</vt:lpstr>
      <vt:lpstr>QUADRO</vt:lpstr>
      <vt:lpstr>PLANILHA HOMOG</vt:lpstr>
      <vt:lpstr>SANEAMENTO</vt:lpstr>
      <vt:lpstr>LIQUIDAÇÃO</vt:lpstr>
      <vt:lpstr>LAUDO DE AVALIAÇÃO</vt:lpstr>
      <vt:lpstr>LAUDO DE AVALIAÇÃO 12-12.4</vt:lpstr>
      <vt:lpstr>LAUDO DE AVALIAÇÃO 13</vt:lpstr>
      <vt:lpstr>'LAUDO DE AVALIAÇÃO 12-12.4'!Area_de_impressao</vt:lpstr>
      <vt:lpstr>'LAUDO DE AVALIAÇÃO 13'!Area_de_impressao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valec</dc:creator>
  <cp:lastModifiedBy>Agropassos Engenharia</cp:lastModifiedBy>
  <cp:lastPrinted>2017-10-03T10:10:58Z</cp:lastPrinted>
  <dcterms:created xsi:type="dcterms:W3CDTF">2007-03-13T17:47:00Z</dcterms:created>
  <dcterms:modified xsi:type="dcterms:W3CDTF">2025-06-20T18:51:37Z</dcterms:modified>
</cp:coreProperties>
</file>