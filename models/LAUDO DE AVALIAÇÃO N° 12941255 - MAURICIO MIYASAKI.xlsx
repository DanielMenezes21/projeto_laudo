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DESKTOP\Desktop\automacao_laudo\models\"/>
    </mc:Choice>
  </mc:AlternateContent>
  <bookViews>
    <workbookView minimized="1" xWindow="-120" yWindow="-120" windowWidth="20730" windowHeight="11040" tabRatio="874" firstSheet="2" activeTab="6"/>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workbook>
</file>

<file path=xl/calcChain.xml><?xml version="1.0" encoding="utf-8"?>
<calcChain xmlns="http://schemas.openxmlformats.org/spreadsheetml/2006/main">
  <c r="H20" i="3" l="1"/>
  <c r="H21" i="3"/>
  <c r="E13" i="4"/>
  <c r="E12" i="4" l="1"/>
  <c r="E14" i="4" s="1"/>
  <c r="F18" i="3"/>
  <c r="F11" i="4"/>
  <c r="I8" i="6"/>
  <c r="J8" i="6" s="1"/>
  <c r="C4" i="3"/>
  <c r="C4" i="7" s="1"/>
  <c r="C5" i="8" s="1"/>
  <c r="K8" i="6"/>
  <c r="K9" i="6"/>
  <c r="I9" i="6"/>
  <c r="J9" i="6"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N7" i="6"/>
  <c r="M7" i="6"/>
  <c r="K7" i="6"/>
  <c r="L7" i="6" s="1"/>
  <c r="I7" i="6"/>
  <c r="J7" i="6" s="1"/>
  <c r="E7" i="6"/>
  <c r="D7" i="6"/>
  <c r="B7" i="6"/>
  <c r="O6" i="6"/>
  <c r="N6" i="6"/>
  <c r="M6" i="6"/>
  <c r="K6" i="6"/>
  <c r="L6" i="6" s="1"/>
  <c r="I6" i="6"/>
  <c r="J6" i="6" s="1"/>
  <c r="E6" i="6"/>
  <c r="D6" i="6"/>
  <c r="B6" i="6"/>
  <c r="O5" i="6"/>
  <c r="M5" i="6"/>
  <c r="N5" i="6" s="1"/>
  <c r="K5" i="6"/>
  <c r="L5" i="6" s="1"/>
  <c r="I5" i="6"/>
  <c r="J5" i="6" s="1"/>
  <c r="E5" i="6"/>
  <c r="D5" i="6"/>
  <c r="B5" i="6"/>
  <c r="O4" i="6"/>
  <c r="M4" i="6"/>
  <c r="N4" i="6" s="1"/>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7" i="4"/>
  <c r="N6" i="3"/>
  <c r="R6" i="3" s="1"/>
  <c r="C6" i="3"/>
  <c r="Q4" i="3"/>
  <c r="H18" i="3" l="1"/>
  <c r="F6" i="6"/>
  <c r="E6" i="5"/>
  <c r="F7" i="6"/>
  <c r="F25" i="4"/>
  <c r="H76" i="4"/>
  <c r="K77" i="4" s="1"/>
  <c r="G70" i="4"/>
  <c r="F7" i="5" s="1"/>
  <c r="C8" i="5"/>
  <c r="E5" i="5"/>
  <c r="F81" i="4"/>
  <c r="F55" i="4"/>
  <c r="E8" i="5"/>
  <c r="F5" i="6"/>
  <c r="F70" i="4"/>
  <c r="E70" i="4"/>
  <c r="R7" i="3"/>
  <c r="F83" i="4"/>
  <c r="E82" i="4"/>
  <c r="F12" i="4"/>
  <c r="G14" i="4" s="1"/>
  <c r="F19" i="3"/>
  <c r="F22"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s="1"/>
  <c r="B10" i="9"/>
  <c r="F17" i="7"/>
  <c r="G10" i="6"/>
  <c r="H19" i="3"/>
  <c r="H22" i="3" s="1"/>
  <c r="F82" i="4"/>
  <c r="E84" i="4"/>
  <c r="F56" i="4"/>
  <c r="F96" i="4"/>
  <c r="F98" i="4" s="1"/>
  <c r="E98" i="4"/>
  <c r="K20" i="4"/>
  <c r="M4" i="4"/>
  <c r="M5" i="4" s="1"/>
  <c r="E26" i="4"/>
  <c r="G42" i="4"/>
  <c r="F42" i="4"/>
  <c r="G6" i="6" l="1"/>
  <c r="G98" i="4"/>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<sst xmlns="http://schemas.openxmlformats.org/spreadsheetml/2006/main" count="617" uniqueCount="331">
  <si>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</si>
  <si>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</si>
  <si>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</si>
  <si>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</si>
  <si>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</si>
  <si>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</si>
  <si>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</si>
  <si>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</si>
  <si>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</si>
  <si>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</si>
  <si>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</si>
  <si>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</si>
  <si>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</si>
  <si>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</si>
  <si>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</si>
  <si>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</si>
  <si>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</si>
  <si>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</si>
  <si>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</si>
  <si>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</si>
  <si>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</si>
  <si>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</si>
  <si>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</si>
  <si>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</si>
  <si>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</si>
  <si>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</si>
  <si>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</si>
  <si>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</si>
  <si>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</si>
  <si>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</si>
  <si>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</si>
  <si>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</si>
  <si>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</si>
  <si>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</si>
  <si>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</si>
  <si>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</si>
  <si>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</si>
  <si>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</si>
  <si>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</si>
  <si>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</si>
  <si>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</si>
  <si>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</si>
  <si>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</si>
  <si>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</si>
  <si>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</si>
  <si>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</si>
  <si>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</si>
  <si>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</si>
  <si>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</si>
  <si>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</si>
  <si>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</si>
  <si>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</si>
  <si>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</si>
  <si>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</si>
  <si>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</si>
  <si>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</si>
  <si>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</si>
  <si>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</si>
  <si>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</si>
  <si>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</si>
  <si>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</si>
  <si>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</si>
  <si>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</si>
  <si>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</si>
  <si>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</si>
  <si>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</si>
  <si>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</si>
  <si>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</si>
  <si>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</si>
  <si>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</si>
  <si>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</si>
  <si>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</si>
  <si>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</si>
  <si>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</si>
  <si>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</si>
  <si>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</si>
  <si>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</si>
  <si>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</si>
  <si>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</si>
  <si>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</si>
  <si>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</si>
  <si>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</si>
  <si>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</si>
  <si>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</si>
  <si>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</si>
  <si>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</si>
  <si>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</si>
  <si>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</si>
  <si>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</si>
  <si>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</si>
  <si>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</si>
  <si>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</si>
  <si>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</si>
  <si>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</si>
  <si>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</si>
  <si>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</si>
  <si>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</si>
  <si>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</si>
  <si>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</si>
  <si>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</si>
  <si>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</si>
  <si>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</si>
  <si>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</si>
  <si>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</si>
  <si>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</si>
  <si>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</si>
  <si>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</si>
  <si>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</si>
  <si>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</si>
  <si>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</si>
  <si>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</si>
  <si>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</si>
  <si>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</si>
  <si>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</si>
  <si>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</si>
  <si>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</si>
  <si>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</si>
  <si>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</si>
  <si>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</si>
  <si>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</si>
  <si>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</si>
  <si>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</si>
  <si>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</si>
  <si>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</si>
  <si>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</si>
  <si>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</si>
  <si>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</si>
  <si>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</si>
  <si>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</si>
  <si>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</si>
  <si>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</si>
  <si>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</si>
  <si>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</si>
  <si>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</si>
  <si>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</si>
  <si>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</si>
  <si>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</si>
  <si>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</si>
  <si>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</si>
  <si>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</si>
  <si>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</si>
  <si>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</si>
  <si>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</si>
  <si>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</si>
  <si>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</si>
  <si>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</si>
  <si>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</si>
  <si>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</si>
  <si>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</si>
  <si>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</si>
  <si>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</si>
  <si>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</si>
  <si>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</si>
  <si>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</si>
  <si>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</si>
  <si>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</si>
  <si>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</si>
  <si>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</si>
  <si>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</si>
  <si>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</si>
  <si>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</si>
  <si>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</si>
  <si>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</si>
  <si>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</si>
  <si>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</si>
  <si>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</si>
  <si>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</si>
  <si>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</si>
  <si>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</si>
  <si>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</si>
  <si>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</si>
  <si>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</si>
  <si>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</si>
  <si>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</si>
  <si>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</si>
  <si>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</si>
  <si>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</si>
  <si>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</si>
  <si>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</si>
  <si>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</si>
  <si>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</si>
  <si>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</si>
  <si>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</si>
  <si>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</si>
  <si>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</si>
  <si>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</si>
  <si>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</si>
  <si>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</si>
  <si>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</si>
  <si>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</si>
  <si>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</si>
  <si>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</si>
  <si>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</si>
  <si>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</si>
  <si>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</si>
  <si>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</si>
  <si>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</si>
  <si>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</si>
  <si>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</si>
  <si>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</si>
  <si>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</si>
  <si>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</si>
  <si>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</si>
  <si>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</si>
  <si>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</si>
  <si>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</si>
  <si>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</si>
  <si>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</si>
  <si>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</si>
  <si>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</si>
  <si>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</si>
  <si>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</si>
  <si>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</si>
  <si>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</si>
  <si>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</si>
  <si>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</si>
  <si>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</si>
  <si>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</si>
  <si>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</si>
  <si>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</si>
  <si>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</si>
  <si>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</si>
  <si>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</si>
  <si>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</si>
  <si>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</si>
  <si>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</si>
  <si>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</si>
  <si>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</si>
  <si>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</si>
  <si>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</si>
  <si>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</si>
  <si>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</si>
  <si>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</si>
  <si>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</si>
  <si>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</si>
  <si>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</si>
  <si>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</si>
  <si>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</si>
  <si>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</si>
  <si>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</si>
  <si>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</si>
  <si>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</si>
  <si>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</si>
  <si>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</si>
  <si>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</si>
  <si>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</si>
  <si>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</si>
  <si>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</si>
  <si>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</si>
  <si>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</si>
  <si>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</si>
  <si>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</si>
  <si>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</si>
  <si>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</si>
  <si>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</si>
  <si>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</si>
  <si>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</si>
  <si>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</si>
  <si>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</si>
  <si>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</si>
  <si>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</si>
  <si>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</si>
  <si>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</si>
  <si>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</si>
  <si>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</si>
  <si>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</si>
  <si>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</si>
  <si>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</si>
  <si>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</si>
  <si>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</si>
  <si>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</si>
  <si>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</si>
  <si>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</si>
  <si>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</si>
  <si>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</si>
  <si>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</si>
  <si>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</si>
  <si>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</si>
  <si>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</si>
  <si>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</si>
  <si>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</si>
  <si>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</si>
  <si>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</si>
  <si>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</si>
  <si>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</si>
  <si>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</si>
  <si>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</si>
  <si>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</si>
  <si>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</si>
  <si>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</si>
  <si>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</si>
  <si>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</si>
  <si>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</si>
  <si>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</si>
  <si>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</si>
  <si>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</si>
  <si>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</si>
  <si>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</si>
  <si>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</si>
  <si>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</si>
  <si>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</si>
  <si>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</si>
  <si>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</si>
  <si>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</si>
  <si>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</si>
  <si>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</si>
  <si>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</si>
  <si>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</si>
  <si>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</si>
  <si>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</si>
  <si>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</si>
  <si>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</si>
  <si>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</si>
  <si>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</si>
  <si>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</si>
  <si>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</si>
  <si>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</si>
  <si>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</si>
  <si>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</si>
  <si>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</si>
  <si>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</si>
  <si>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</si>
  <si>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</si>
  <si>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</si>
  <si>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</si>
  <si>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</si>
  <si>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</si>
  <si>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</si>
  <si>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</si>
  <si>
    <t>Área de Presevarção Permanente</t>
  </si>
  <si>
    <t xml:space="preserve">Área De Reserva Legal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</si>
</sst>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80">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53" fillId="0" borderId="0" xfId="0" applyFont="1"/>
    <xf numFmtId="0" fontId="51" fillId="3" borderId="20" xfId="0" applyFont="1" applyFill="1" applyBorder="1" applyAlignment="1">
      <alignment horizontal="right" vertical="center"/>
    </xf>
    <xf numFmtId="0" fontId="0" fillId="0" borderId="0" xfId="0"/>
    <xf numFmtId="0" fontId="48" fillId="5" borderId="8" xfId="0" applyFont="1" applyFill="1" applyBorder="1" applyAlignment="1">
      <alignment horizontal="center" vertical="center"/>
    </xf>
    <xf numFmtId="0" fontId="0" fillId="0" borderId="2" xfId="0" applyBorder="1"/>
    <xf numFmtId="0" fontId="0" fillId="0" borderId="14" xfId="0" applyBorder="1"/>
    <xf numFmtId="0" fontId="50" fillId="3" borderId="9" xfId="0" applyFont="1" applyFill="1" applyBorder="1" applyAlignment="1">
      <alignment horizontal="left" vertical="center"/>
    </xf>
    <xf numFmtId="0" fontId="0" fillId="0" borderId="9" xfId="0" applyBorder="1"/>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0" fillId="0" borderId="18" xfId="0" applyBorder="1"/>
    <xf numFmtId="0" fontId="51" fillId="0" borderId="8" xfId="0" applyFont="1" applyBorder="1" applyAlignment="1">
      <alignment horizontal="center" vertical="center"/>
    </xf>
    <xf numFmtId="0" fontId="50" fillId="3" borderId="1" xfId="0" applyFont="1" applyFill="1" applyBorder="1" applyAlignment="1">
      <alignment horizontal="center" vertical="center"/>
    </xf>
    <xf numFmtId="0" fontId="0" fillId="0" borderId="1" xfId="0" applyBorder="1"/>
    <xf numFmtId="0" fontId="50" fillId="3" borderId="17" xfId="0" applyFont="1" applyFill="1" applyBorder="1" applyAlignment="1">
      <alignment horizontal="left" vertical="center"/>
    </xf>
    <xf numFmtId="0" fontId="0" fillId="0" borderId="17" xfId="0" applyBorder="1"/>
    <xf numFmtId="0" fontId="0" fillId="0" borderId="12" xfId="0" applyBorder="1"/>
    <xf numFmtId="0" fontId="0" fillId="0" borderId="15" xfId="0" applyBorder="1"/>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170" fontId="51" fillId="3" borderId="1" xfId="0" applyNumberFormat="1" applyFont="1" applyFill="1" applyBorder="1" applyAlignment="1">
      <alignment horizontal="center"/>
    </xf>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170" fontId="51" fillId="3" borderId="15" xfId="0" applyNumberFormat="1" applyFont="1" applyFill="1" applyBorder="1" applyAlignment="1">
      <alignment horizont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6" fillId="3" borderId="8" xfId="0" applyFont="1" applyFill="1" applyBorder="1" applyAlignment="1">
      <alignment horizontal="center" vertical="center"/>
    </xf>
    <xf numFmtId="169" fontId="56" fillId="3" borderId="8" xfId="0" applyNumberFormat="1"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3" borderId="8" xfId="0" applyFont="1" applyFill="1" applyBorder="1" applyAlignment="1">
      <alignment horizontal="center" vertic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68" fontId="56" fillId="3" borderId="8" xfId="0" applyNumberFormat="1" applyFont="1" applyFill="1" applyBorder="1" applyAlignment="1">
      <alignment horizontal="center"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5" borderId="8" xfId="0" applyFont="1" applyFill="1" applyBorder="1" applyAlignment="1">
      <alignment horizontal="center" vertical="center"/>
    </xf>
    <xf numFmtId="0" fontId="55" fillId="3" borderId="13" xfId="0" applyFont="1" applyFill="1" applyBorder="1" applyAlignment="1">
      <alignment horizontal="center" vertical="center"/>
    </xf>
    <xf numFmtId="169" fontId="56" fillId="3" borderId="11" xfId="0" applyNumberFormat="1" applyFont="1" applyFill="1" applyBorder="1" applyAlignment="1">
      <alignment horizontal="center" vertical="center"/>
    </xf>
    <xf numFmtId="169" fontId="56" fillId="3" borderId="14" xfId="0" applyNumberFormat="1" applyFont="1" applyFill="1" applyBorder="1" applyAlignment="1">
      <alignment horizontal="center" vertical="center"/>
    </xf>
    <xf numFmtId="0" fontId="55" fillId="5" borderId="0" xfId="0" applyFont="1" applyFill="1" applyAlignment="1">
      <alignment horizontal="center" vertical="center"/>
    </xf>
    <xf numFmtId="169" fontId="56" fillId="0" borderId="8" xfId="0" applyNumberFormat="1" applyFont="1" applyBorder="1" applyAlignment="1">
      <alignment horizontal="center" vertical="center"/>
    </xf>
    <xf numFmtId="168" fontId="53" fillId="3" borderId="8" xfId="0" applyNumberFormat="1" applyFont="1" applyFill="1" applyBorder="1" applyAlignment="1">
      <alignment horizontal="center"/>
    </xf>
    <xf numFmtId="0" fontId="53" fillId="5" borderId="8" xfId="0" applyFont="1" applyFill="1" applyBorder="1" applyAlignment="1">
      <alignment horizontal="center"/>
    </xf>
    <xf numFmtId="0" fontId="6" fillId="3" borderId="0" xfId="0" applyFont="1" applyFill="1" applyAlignment="1">
      <alignment horizontal="left"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5" fillId="3" borderId="0" xfId="0" applyFont="1" applyFill="1" applyAlignment="1">
      <alignment horizontal="left" vertical="center"/>
    </xf>
    <xf numFmtId="2" fontId="24" fillId="3" borderId="0" xfId="0" applyNumberFormat="1" applyFont="1" applyFill="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171" fontId="23"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11" fillId="3" borderId="0" xfId="0" applyFont="1" applyFill="1" applyAlignment="1">
      <alignment horizontal="left" vertical="center"/>
    </xf>
    <xf numFmtId="0" fontId="22" fillId="3" borderId="0" xfId="0" applyFont="1" applyFill="1" applyAlignment="1">
      <alignment horizontal="left"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9" xfId="0" applyFont="1" applyFill="1" applyBorder="1" applyAlignment="1">
      <alignment horizontal="left" vertical="center"/>
    </xf>
    <xf numFmtId="0" fontId="47" fillId="3" borderId="0" xfId="0" applyFont="1" applyFill="1" applyAlignment="1">
      <alignment horizontal="center" vertical="center"/>
    </xf>
    <xf numFmtId="0" fontId="5" fillId="3" borderId="9" xfId="0" applyFont="1" applyFill="1" applyBorder="1" applyAlignment="1">
      <alignment horizontal="left" vertical="top" wrapText="1"/>
    </xf>
    <xf numFmtId="0" fontId="14" fillId="3" borderId="0" xfId="0" applyFont="1" applyFill="1" applyAlignment="1">
      <alignment horizontal="left" vertical="center"/>
    </xf>
    <xf numFmtId="168" fontId="4" fillId="0" borderId="0" xfId="0" applyNumberFormat="1" applyFont="1" applyAlignment="1">
      <alignment horizontal="left"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14" fontId="20"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9" fillId="3" borderId="20" xfId="0" applyFont="1" applyFill="1" applyBorder="1" applyAlignment="1">
      <alignment horizontal="center" vertical="center"/>
    </xf>
    <xf numFmtId="170" fontId="24" fillId="0" borderId="0" xfId="0" applyNumberFormat="1" applyFont="1" applyAlignment="1">
      <alignment horizontal="left" vertical="center"/>
    </xf>
    <xf numFmtId="0" fontId="47" fillId="5" borderId="0" xfId="0" applyFont="1" applyFill="1" applyAlignment="1">
      <alignment horizontal="center" vertical="center"/>
    </xf>
    <xf numFmtId="0" fontId="16" fillId="3" borderId="0" xfId="0" applyFont="1" applyFill="1" applyAlignment="1">
      <alignment horizontal="left" vertical="center"/>
    </xf>
    <xf numFmtId="169" fontId="47" fillId="3" borderId="1" xfId="0" applyNumberFormat="1" applyFont="1" applyFill="1" applyBorder="1" applyAlignment="1">
      <alignment horizontal="center"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47" fillId="3" borderId="12" xfId="0" applyFont="1" applyFill="1" applyBorder="1" applyAlignment="1">
      <alignment horizontal="center" vertical="center"/>
    </xf>
    <xf numFmtId="0" fontId="24" fillId="3" borderId="9" xfId="0" applyFont="1" applyFill="1" applyBorder="1" applyAlignment="1">
      <alignment horizontal="left" vertical="center"/>
    </xf>
    <xf numFmtId="0" fontId="20" fillId="3" borderId="9" xfId="0" applyFont="1" applyFill="1" applyBorder="1" applyAlignment="1">
      <alignment horizontal="left" vertical="center"/>
    </xf>
    <xf numFmtId="0" fontId="13"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24" fillId="3" borderId="0" xfId="0" applyFont="1" applyFill="1" applyAlignment="1">
      <alignment horizontal="left" vertical="center"/>
    </xf>
    <xf numFmtId="171" fontId="11" fillId="3" borderId="9" xfId="0" applyNumberFormat="1" applyFont="1" applyFill="1" applyBorder="1" applyAlignment="1">
      <alignment horizontal="left" vertical="center"/>
    </xf>
    <xf numFmtId="171" fontId="24" fillId="3" borderId="9" xfId="0" applyNumberFormat="1" applyFont="1" applyFill="1" applyBorder="1" applyAlignment="1">
      <alignment horizontal="left" vertical="center"/>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1" fillId="3" borderId="0" xfId="0" applyNumberFormat="1" applyFont="1" applyFill="1" applyAlignment="1">
      <alignment horizontal="left" vertical="center"/>
    </xf>
    <xf numFmtId="168" fontId="10" fillId="0" borderId="0" xfId="0" applyNumberFormat="1" applyFont="1" applyAlignment="1">
      <alignment horizontal="left" vertical="center"/>
    </xf>
    <xf numFmtId="0" fontId="6" fillId="3" borderId="9" xfId="0" applyFont="1" applyFill="1" applyBorder="1" applyAlignment="1">
      <alignment horizontal="left" vertical="top" wrapText="1"/>
    </xf>
    <xf numFmtId="0" fontId="11" fillId="3" borderId="9" xfId="0" applyFont="1" applyFill="1" applyBorder="1" applyAlignment="1">
      <alignment horizontal="left" vertical="center"/>
    </xf>
    <xf numFmtId="168" fontId="23" fillId="3" borderId="0" xfId="0" applyNumberFormat="1" applyFont="1" applyFill="1" applyAlignment="1">
      <alignment horizontal="left" vertical="center"/>
    </xf>
    <xf numFmtId="0" fontId="7" fillId="3" borderId="9" xfId="0" applyFont="1" applyFill="1" applyBorder="1" applyAlignment="1">
      <alignment horizontal="left" vertical="top" wrapText="1"/>
    </xf>
    <xf numFmtId="170" fontId="11"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20" xfId="0" applyFont="1" applyFill="1" applyBorder="1" applyAlignment="1">
      <alignment horizontal="center"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8" fillId="3" borderId="0" xfId="0" applyNumberFormat="1" applyFont="1" applyFill="1" applyAlignment="1">
      <alignment horizontal="left" vertical="center"/>
    </xf>
    <xf numFmtId="170" fontId="23" fillId="0" borderId="0" xfId="0" applyNumberFormat="1" applyFont="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64" fillId="5" borderId="0" xfId="0" applyFont="1" applyFill="1" applyAlignment="1">
      <alignment horizontal="center" vertical="center"/>
    </xf>
    <xf numFmtId="0" fontId="3" fillId="3" borderId="9" xfId="0" applyFont="1" applyFill="1" applyBorder="1" applyAlignment="1">
      <alignment horizontal="left" vertical="center"/>
    </xf>
    <xf numFmtId="0" fontId="47" fillId="0" borderId="0" xfId="0" applyFont="1" applyAlignment="1">
      <alignment horizontal="center" vertical="center"/>
    </xf>
    <xf numFmtId="0" fontId="14" fillId="3" borderId="9" xfId="0" applyFont="1" applyFill="1" applyBorder="1" applyAlignment="1">
      <alignment horizontal="left" vertical="center"/>
    </xf>
    <xf numFmtId="168" fontId="9" fillId="3" borderId="0" xfId="0" applyNumberFormat="1" applyFont="1" applyFill="1" applyAlignment="1">
      <alignment horizontal="left" vertical="center"/>
    </xf>
    <xf numFmtId="0" fontId="54" fillId="6" borderId="34" xfId="0" applyFont="1" applyFill="1" applyBorder="1" applyAlignment="1">
      <alignment horizontal="center" vertical="center" wrapText="1"/>
    </xf>
    <xf numFmtId="0" fontId="54" fillId="0" borderId="20" xfId="0" applyFont="1" applyBorder="1" applyAlignment="1">
      <alignment horizontal="left" vertical="center" wrapText="1"/>
    </xf>
    <xf numFmtId="0" fontId="53" fillId="0" borderId="0" xfId="0" applyFont="1" applyAlignment="1">
      <alignment horizontal="center"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47"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29" fillId="5" borderId="0" xfId="0" applyFont="1" applyFill="1" applyAlignment="1">
      <alignment horizontal="center"/>
    </xf>
    <xf numFmtId="0" fontId="0" fillId="3" borderId="20" xfId="0" applyFill="1" applyBorder="1" applyAlignment="1">
      <alignment horizontal="right"/>
    </xf>
    <xf numFmtId="170" fontId="0" fillId="3" borderId="9" xfId="0" applyNumberFormat="1" applyFill="1" applyBorder="1" applyAlignment="1">
      <alignment horizontal="center"/>
    </xf>
    <xf numFmtId="2" fontId="0" fillId="4" borderId="9" xfId="0" applyNumberFormat="1" applyFill="1" applyBorder="1" applyAlignment="1">
      <alignment horizontal="center"/>
    </xf>
    <xf numFmtId="0" fontId="0" fillId="3" borderId="9" xfId="0" applyFill="1" applyBorder="1" applyAlignment="1">
      <alignment horizontal="center"/>
    </xf>
    <xf numFmtId="0" fontId="0" fillId="0" borderId="0" xfId="0" applyAlignment="1">
      <alignment horizontal="right"/>
    </xf>
    <xf numFmtId="0" fontId="0" fillId="4" borderId="20" xfId="0" applyFill="1" applyBorder="1" applyAlignment="1">
      <alignment horizontal="right"/>
    </xf>
    <xf numFmtId="170" fontId="47" fillId="4" borderId="14" xfId="0" applyNumberFormat="1" applyFont="1" applyFill="1" applyBorder="1" applyAlignment="1">
      <alignment horizontal="center"/>
    </xf>
    <xf numFmtId="0" fontId="0" fillId="0" borderId="0" xfId="0" applyAlignment="1">
      <alignment horizontal="center"/>
    </xf>
    <xf numFmtId="170" fontId="0" fillId="4" borderId="9" xfId="0" applyNumberFormat="1" applyFill="1" applyBorder="1" applyAlignment="1">
      <alignment horizontal="center"/>
    </xf>
    <xf numFmtId="170" fontId="47" fillId="6" borderId="14" xfId="0" applyNumberFormat="1" applyFon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2" fontId="0" fillId="3" borderId="9" xfId="3" applyNumberFormat="1" applyFont="1" applyFill="1" applyBorder="1" applyAlignment="1">
      <alignment horizontal="center"/>
    </xf>
    <xf numFmtId="170" fontId="0" fillId="0" borderId="0" xfId="0" applyNumberFormat="1" applyAlignment="1">
      <alignment horizontal="center"/>
    </xf>
    <xf numFmtId="0" fontId="0" fillId="4" borderId="0" xfId="0" applyFill="1" applyAlignment="1">
      <alignment horizontal="center"/>
    </xf>
    <xf numFmtId="0" fontId="29" fillId="5" borderId="0" xfId="0" applyFont="1" applyFill="1" applyAlignment="1">
      <alignment horizontal="center" vertical="center"/>
    </xf>
    <xf numFmtId="10" fontId="0" fillId="0" borderId="0" xfId="3" applyNumberFormat="1" applyFont="1" applyAlignment="1">
      <alignment horizontal="center"/>
    </xf>
    <xf numFmtId="0" fontId="29" fillId="3" borderId="0" xfId="0" applyFont="1" applyFill="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39" fillId="3" borderId="0" xfId="0" applyFont="1" applyFill="1" applyAlignment="1">
      <alignment horizontal="center"/>
    </xf>
    <xf numFmtId="0" fontId="46" fillId="3" borderId="0" xfId="0" applyFont="1" applyFill="1"/>
    <xf numFmtId="14" fontId="40" fillId="3" borderId="0" xfId="0" applyNumberFormat="1" applyFont="1" applyFill="1" applyAlignment="1" applyProtection="1">
      <alignment horizontal="left"/>
      <protection locked="0"/>
    </xf>
    <xf numFmtId="165" fontId="38" fillId="3" borderId="0" xfId="1" applyFont="1" applyFill="1" applyAlignment="1">
      <alignment horizontal="center"/>
    </xf>
    <xf numFmtId="0" fontId="40" fillId="3" borderId="0" xfId="0" applyFont="1" applyFill="1"/>
    <xf numFmtId="43" fontId="39" fillId="3" borderId="0" xfId="2" applyFont="1" applyFill="1" applyAlignment="1" applyProtection="1">
      <alignment horizontal="center"/>
      <protection locked="0"/>
    </xf>
    <xf numFmtId="43" fontId="45" fillId="3" borderId="0" xfId="2" applyFont="1" applyFill="1" applyAlignment="1">
      <alignment horizontal="center"/>
    </xf>
    <xf numFmtId="0" fontId="45" fillId="3" borderId="0" xfId="0" applyFont="1" applyFill="1"/>
    <xf numFmtId="0" fontId="38" fillId="0" borderId="0" xfId="0" applyFont="1" applyAlignment="1">
      <alignment horizontal="center"/>
    </xf>
    <xf numFmtId="49" fontId="40" fillId="3" borderId="0" xfId="0" applyNumberFormat="1" applyFont="1" applyFill="1" applyAlignment="1">
      <alignment horizontal="center"/>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43" fontId="38" fillId="3" borderId="0" xfId="0" applyNumberFormat="1" applyFont="1" applyFill="1" applyAlignment="1">
      <alignment horizontal="center"/>
    </xf>
    <xf numFmtId="14" fontId="40" fillId="3" borderId="0" xfId="0" applyNumberFormat="1" applyFont="1" applyFill="1" applyAlignment="1">
      <alignment horizontal="left"/>
    </xf>
    <xf numFmtId="165" fontId="43" fillId="3" borderId="0" xfId="1" applyFont="1" applyFill="1" applyAlignment="1">
      <alignment horizontal="center"/>
    </xf>
    <xf numFmtId="165" fontId="40" fillId="3" borderId="0" xfId="1" applyFill="1" applyAlignment="1">
      <alignment horizontal="center"/>
    </xf>
    <xf numFmtId="0" fontId="41" fillId="3" borderId="0" xfId="0" applyFont="1" applyFill="1" applyAlignment="1">
      <alignment horizontal="center" vertical="top" wrapText="1"/>
    </xf>
    <xf numFmtId="0" fontId="42" fillId="3" borderId="0" xfId="0" applyFont="1" applyFill="1"/>
    <xf numFmtId="43" fontId="46" fillId="3" borderId="0" xfId="2" applyFont="1" applyFill="1" applyAlignment="1">
      <alignment horizontal="center"/>
    </xf>
    <xf numFmtId="39" fontId="46" fillId="3" borderId="0" xfId="2" applyNumberFormat="1" applyFont="1" applyFill="1" applyAlignment="1">
      <alignment horizontal="right"/>
    </xf>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165" fontId="38" fillId="3" borderId="0" xfId="0" applyNumberFormat="1" applyFont="1" applyFill="1" applyAlignment="1">
      <alignment horizontal="center"/>
    </xf>
    <xf numFmtId="0" fontId="35" fillId="3" borderId="28" xfId="0" applyFont="1" applyFill="1" applyBorder="1" applyAlignment="1">
      <alignment horizontal="center" vertical="center"/>
    </xf>
    <xf numFmtId="0" fontId="0" fillId="0" borderId="22" xfId="0" applyBorder="1"/>
    <xf numFmtId="0" fontId="29" fillId="3" borderId="34" xfId="0" applyFont="1" applyFill="1" applyBorder="1" applyAlignment="1">
      <alignment horizontal="center"/>
    </xf>
    <xf numFmtId="0" fontId="35" fillId="3" borderId="8" xfId="0" applyFont="1" applyFill="1" applyBorder="1" applyAlignment="1">
      <alignment horizontal="center" vertical="justify"/>
    </xf>
    <xf numFmtId="0" fontId="0" fillId="0" borderId="13"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35" fillId="3" borderId="14" xfId="0" applyFont="1" applyFill="1" applyBorder="1" applyAlignment="1">
      <alignment horizontal="center" vertical="center"/>
    </xf>
    <xf numFmtId="0" fontId="35" fillId="3" borderId="14" xfId="0" applyFont="1" applyFill="1" applyBorder="1" applyAlignment="1">
      <alignment horizontal="center" vertical="center" wrapText="1"/>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4" fillId="3" borderId="50" xfId="0" applyFont="1" applyFill="1" applyBorder="1" applyAlignment="1">
      <alignment horizontal="center"/>
    </xf>
    <xf numFmtId="0" fontId="0" fillId="0" borderId="39" xfId="0" applyBorder="1"/>
    <xf numFmtId="0" fontId="0" fillId="0" borderId="40" xfId="0" applyBorder="1"/>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70" fillId="9" borderId="0" xfId="0" applyFont="1" applyFill="1" applyAlignment="1">
      <alignment horizontal="center" vertical="center"/>
    </xf>
    <xf numFmtId="0" fontId="70" fillId="10" borderId="0" xfId="0" applyFont="1" applyFill="1" applyAlignment="1">
      <alignment horizontal="center" vertical="center"/>
    </xf>
    <xf numFmtId="0" fontId="24" fillId="9" borderId="0" xfId="0" applyFont="1" applyFill="1"/>
    <xf numFmtId="0" fontId="51" fillId="7" borderId="0" xfId="0" applyFont="1" applyFill="1" applyAlignment="1">
      <alignment horizontal="left"/>
    </xf>
    <xf numFmtId="0" fontId="70" fillId="9" borderId="0" xfId="0" applyFont="1" applyFill="1"/>
    <xf numFmtId="0" fontId="62" fillId="5" borderId="0" xfId="0" applyFont="1" applyFill="1" applyAlignment="1">
      <alignment horizontal="center" vertical="center" wrapText="1"/>
    </xf>
    <xf numFmtId="0" fontId="69" fillId="7" borderId="0" xfId="0" applyFont="1" applyFill="1" applyAlignment="1">
      <alignment vertical="center"/>
    </xf>
    <xf numFmtId="0" fontId="62" fillId="7" borderId="0" xfId="0" applyFont="1" applyFill="1" applyAlignment="1">
      <alignment vertical="center"/>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50" t="s">
        <v>0</v>
      </c>
      <c r="C3" s="257"/>
      <c r="D3" s="257"/>
      <c r="E3" s="257"/>
      <c r="F3" s="257"/>
      <c r="G3" s="257"/>
      <c r="H3" s="257"/>
      <c r="I3" s="257"/>
      <c r="J3" s="257"/>
      <c r="K3" s="257"/>
      <c r="L3" s="257"/>
      <c r="M3" s="262"/>
    </row>
    <row r="4" spans="2:13">
      <c r="B4" s="263"/>
      <c r="C4" s="260"/>
      <c r="D4" s="260"/>
      <c r="E4" s="260"/>
      <c r="F4" s="260"/>
      <c r="G4" s="260"/>
      <c r="H4" s="260"/>
      <c r="I4" s="260"/>
      <c r="J4" s="260"/>
      <c r="K4" s="260"/>
      <c r="L4" s="260"/>
      <c r="M4" s="264"/>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48" t="s">
        <v>1</v>
      </c>
      <c r="C7" s="249"/>
      <c r="D7" s="249"/>
      <c r="E7" s="253"/>
      <c r="F7" s="249"/>
      <c r="G7" s="249"/>
      <c r="H7" s="249"/>
      <c r="I7" s="249"/>
      <c r="J7" s="249"/>
      <c r="K7" s="249"/>
      <c r="L7" s="249"/>
      <c r="M7" s="254"/>
    </row>
    <row r="8" spans="2:13" ht="17.25" customHeight="1">
      <c r="B8" s="248" t="s">
        <v>2</v>
      </c>
      <c r="C8" s="249"/>
      <c r="D8" s="249"/>
      <c r="E8" s="253"/>
      <c r="F8" s="249"/>
      <c r="G8" s="249"/>
      <c r="H8" s="249"/>
      <c r="I8" s="249"/>
      <c r="J8" s="249"/>
      <c r="K8" s="249"/>
      <c r="L8" s="249"/>
      <c r="M8" s="254"/>
    </row>
    <row r="9" spans="2:13" ht="17.25" customHeight="1">
      <c r="B9" s="248" t="s">
        <v>3</v>
      </c>
      <c r="C9" s="249"/>
      <c r="D9" s="249"/>
      <c r="E9" s="253"/>
      <c r="F9" s="249"/>
      <c r="G9" s="249"/>
      <c r="H9" s="249"/>
      <c r="I9" s="249"/>
      <c r="J9" s="249"/>
      <c r="K9" s="249"/>
      <c r="L9" s="249"/>
      <c r="M9" s="254"/>
    </row>
    <row r="10" spans="2:13" ht="17.25" customHeight="1">
      <c r="B10" s="248" t="s">
        <v>4</v>
      </c>
      <c r="C10" s="249"/>
      <c r="D10" s="249"/>
      <c r="E10" s="253"/>
      <c r="F10" s="249"/>
      <c r="G10" s="249"/>
      <c r="H10" s="249"/>
      <c r="I10" s="249"/>
      <c r="J10" s="249"/>
      <c r="K10" s="249"/>
      <c r="L10" s="249"/>
      <c r="M10" s="254"/>
    </row>
    <row r="11" spans="2:13" ht="17.25" customHeight="1">
      <c r="B11" s="248" t="s">
        <v>5</v>
      </c>
      <c r="C11" s="249"/>
      <c r="D11" s="249"/>
      <c r="E11" s="253"/>
      <c r="F11" s="249"/>
      <c r="G11" s="249"/>
      <c r="H11" s="249"/>
      <c r="I11" s="249"/>
      <c r="J11" s="249"/>
      <c r="K11" s="249"/>
      <c r="L11" s="249"/>
      <c r="M11" s="254"/>
    </row>
    <row r="12" spans="2:13" ht="17.25" customHeight="1">
      <c r="B12" s="248" t="s">
        <v>6</v>
      </c>
      <c r="C12" s="249"/>
      <c r="D12" s="249"/>
      <c r="E12" s="253"/>
      <c r="F12" s="249"/>
      <c r="G12" s="249"/>
      <c r="H12" s="249"/>
      <c r="I12" s="249"/>
      <c r="J12" s="249"/>
      <c r="K12" s="249"/>
      <c r="L12" s="249"/>
      <c r="M12" s="254"/>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55" t="s">
        <v>7</v>
      </c>
      <c r="C17" s="249"/>
      <c r="D17" s="249"/>
      <c r="E17" s="249"/>
      <c r="F17" s="249"/>
      <c r="G17" s="249"/>
      <c r="H17" s="249"/>
      <c r="I17" s="249"/>
      <c r="J17" s="249"/>
      <c r="K17" s="249"/>
      <c r="L17" s="249"/>
      <c r="M17" s="249"/>
    </row>
    <row r="18" spans="2:13" ht="19.5" customHeight="1">
      <c r="B18" s="111"/>
      <c r="C18" s="111"/>
      <c r="D18" s="111"/>
      <c r="E18" s="111"/>
      <c r="F18" s="111"/>
      <c r="G18" s="111"/>
      <c r="H18" s="111"/>
      <c r="I18" s="111"/>
      <c r="J18" s="111"/>
      <c r="K18" s="111"/>
      <c r="L18" s="111"/>
      <c r="M18" s="111"/>
    </row>
    <row r="19" spans="2:13" ht="17.25" customHeight="1">
      <c r="B19" s="256" t="s">
        <v>1</v>
      </c>
      <c r="C19" s="257"/>
      <c r="D19" s="257"/>
      <c r="E19" s="261"/>
      <c r="F19" s="257"/>
      <c r="G19" s="257"/>
      <c r="H19" s="257"/>
      <c r="I19" s="257"/>
      <c r="J19" s="257"/>
      <c r="K19" s="257"/>
      <c r="L19" s="257"/>
      <c r="M19" s="262"/>
    </row>
    <row r="20" spans="2:13" ht="17.25" customHeight="1">
      <c r="B20" s="248" t="s">
        <v>3</v>
      </c>
      <c r="C20" s="249"/>
      <c r="D20" s="249"/>
      <c r="E20" s="253"/>
      <c r="F20" s="249"/>
      <c r="G20" s="249"/>
      <c r="H20" s="249"/>
      <c r="I20" s="249"/>
      <c r="J20" s="249"/>
      <c r="K20" s="249"/>
      <c r="L20" s="249"/>
      <c r="M20" s="254"/>
    </row>
    <row r="21" spans="2:13" ht="17.25" customHeight="1">
      <c r="B21" s="248" t="s">
        <v>8</v>
      </c>
      <c r="C21" s="249"/>
      <c r="D21" s="249"/>
      <c r="E21" s="253"/>
      <c r="F21" s="249"/>
      <c r="G21" s="249"/>
      <c r="H21" s="249"/>
      <c r="I21" s="249"/>
      <c r="J21" s="249"/>
      <c r="K21" s="249"/>
      <c r="L21" s="249"/>
      <c r="M21" s="254"/>
    </row>
    <row r="22" spans="2:13" ht="17.25" customHeight="1">
      <c r="B22" s="271" t="s">
        <v>9</v>
      </c>
      <c r="C22" s="260"/>
      <c r="D22" s="260"/>
      <c r="E22" s="265"/>
      <c r="F22" s="260"/>
      <c r="G22" s="260"/>
      <c r="H22" s="260"/>
      <c r="I22" s="260"/>
      <c r="J22" s="260"/>
      <c r="K22" s="112"/>
      <c r="L22" s="269"/>
      <c r="M22" s="264"/>
    </row>
    <row r="23" spans="2:13" ht="20.25" customHeight="1">
      <c r="B23" s="250" t="s">
        <v>10</v>
      </c>
      <c r="C23" s="251"/>
      <c r="D23" s="251"/>
      <c r="E23" s="251"/>
      <c r="F23" s="251"/>
      <c r="G23" s="251"/>
      <c r="H23" s="251"/>
      <c r="I23" s="251"/>
      <c r="J23" s="251"/>
      <c r="K23" s="251"/>
      <c r="L23" s="251"/>
      <c r="M23" s="252"/>
    </row>
    <row r="24" spans="2:13" ht="15" customHeight="1">
      <c r="B24" s="258" t="s">
        <v>11</v>
      </c>
      <c r="C24" s="251"/>
      <c r="D24" s="252"/>
      <c r="E24" s="258" t="s">
        <v>12</v>
      </c>
      <c r="F24" s="251"/>
      <c r="G24" s="252"/>
      <c r="H24" s="258" t="s">
        <v>13</v>
      </c>
      <c r="I24" s="251"/>
      <c r="J24" s="252"/>
      <c r="K24" s="258" t="s">
        <v>14</v>
      </c>
      <c r="L24" s="251"/>
      <c r="M24" s="252"/>
    </row>
    <row r="25" spans="2:13" ht="17.25" customHeight="1">
      <c r="B25" s="268"/>
      <c r="C25" s="257"/>
      <c r="D25" s="262"/>
      <c r="E25" s="277"/>
      <c r="F25" s="249"/>
      <c r="G25" s="249"/>
      <c r="H25" s="275"/>
      <c r="I25" s="257"/>
      <c r="J25" s="262"/>
      <c r="K25" s="270"/>
      <c r="L25" s="257"/>
      <c r="M25" s="262"/>
    </row>
    <row r="26" spans="2:13" ht="17.25" customHeight="1">
      <c r="B26" s="266"/>
      <c r="C26" s="260"/>
      <c r="D26" s="264"/>
      <c r="E26" s="259"/>
      <c r="F26" s="260"/>
      <c r="G26" s="260"/>
      <c r="H26" s="267"/>
      <c r="I26" s="260"/>
      <c r="J26" s="264"/>
      <c r="K26" s="272"/>
      <c r="L26" s="260"/>
      <c r="M26" s="264"/>
    </row>
    <row r="27" spans="2:13" ht="20.25" customHeight="1">
      <c r="B27" s="250" t="s">
        <v>15</v>
      </c>
      <c r="C27" s="251"/>
      <c r="D27" s="251"/>
      <c r="E27" s="251"/>
      <c r="F27" s="251"/>
      <c r="G27" s="251"/>
      <c r="H27" s="251"/>
      <c r="I27" s="251"/>
      <c r="J27" s="251"/>
      <c r="K27" s="251"/>
      <c r="L27" s="251"/>
      <c r="M27" s="252"/>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50" t="s">
        <v>16</v>
      </c>
      <c r="C34" s="251"/>
      <c r="D34" s="251"/>
      <c r="E34" s="251"/>
      <c r="F34" s="251"/>
      <c r="G34" s="251"/>
      <c r="H34" s="251"/>
      <c r="I34" s="251"/>
      <c r="J34" s="251"/>
      <c r="K34" s="251"/>
      <c r="L34" s="251"/>
      <c r="M34" s="252"/>
    </row>
    <row r="35" spans="2:13" ht="15" customHeight="1">
      <c r="B35" s="258" t="s">
        <v>17</v>
      </c>
      <c r="C35" s="251"/>
      <c r="D35" s="251"/>
      <c r="E35" s="252"/>
      <c r="F35" s="258" t="s">
        <v>18</v>
      </c>
      <c r="G35" s="251"/>
      <c r="H35" s="251"/>
      <c r="I35" s="252"/>
      <c r="J35" s="258" t="s">
        <v>19</v>
      </c>
      <c r="K35" s="251"/>
      <c r="L35" s="251"/>
      <c r="M35" s="252"/>
    </row>
    <row r="36" spans="2:13" ht="15" customHeight="1">
      <c r="B36" s="281"/>
      <c r="C36" s="257"/>
      <c r="D36" s="257"/>
      <c r="E36" s="257"/>
      <c r="F36" s="282"/>
      <c r="G36" s="257"/>
      <c r="H36" s="257"/>
      <c r="I36" s="257"/>
      <c r="J36" s="283"/>
      <c r="K36" s="257"/>
      <c r="L36" s="257"/>
      <c r="M36" s="262"/>
    </row>
    <row r="37" spans="2:13" ht="15" customHeight="1">
      <c r="B37" s="274"/>
      <c r="C37" s="249"/>
      <c r="D37" s="249"/>
      <c r="E37" s="249"/>
      <c r="F37" s="280"/>
      <c r="G37" s="249"/>
      <c r="H37" s="249"/>
      <c r="I37" s="249"/>
      <c r="J37" s="278"/>
      <c r="K37" s="249"/>
      <c r="L37" s="249"/>
      <c r="M37" s="254"/>
    </row>
    <row r="38" spans="2:13" ht="15" customHeight="1">
      <c r="B38" s="279" t="s">
        <v>20</v>
      </c>
      <c r="C38" s="260"/>
      <c r="D38" s="260"/>
      <c r="E38" s="260"/>
      <c r="F38" s="273"/>
      <c r="G38" s="260"/>
      <c r="H38" s="260"/>
      <c r="I38" s="260"/>
      <c r="J38" s="276"/>
      <c r="K38" s="260"/>
      <c r="L38" s="260"/>
      <c r="M38" s="264"/>
    </row>
    <row r="39" spans="2:13" ht="20.25" customHeight="1">
      <c r="B39" s="250" t="s">
        <v>21</v>
      </c>
      <c r="C39" s="251"/>
      <c r="D39" s="251"/>
      <c r="E39" s="251"/>
      <c r="F39" s="251"/>
      <c r="G39" s="251"/>
      <c r="H39" s="251"/>
      <c r="I39" s="251"/>
      <c r="J39" s="251"/>
      <c r="K39" s="251"/>
      <c r="L39" s="251"/>
      <c r="M39" s="252"/>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5:E35"/>
    <mergeCell ref="E11:M11"/>
    <mergeCell ref="E26:G26"/>
    <mergeCell ref="B12:D12"/>
    <mergeCell ref="B11:D11"/>
    <mergeCell ref="E19:M19"/>
    <mergeCell ref="B20:D20"/>
    <mergeCell ref="F35:I35"/>
    <mergeCell ref="J35:M35"/>
    <mergeCell ref="B8:D8"/>
    <mergeCell ref="B23:M23"/>
    <mergeCell ref="E8:M8"/>
    <mergeCell ref="B17:M17"/>
    <mergeCell ref="E9:M9"/>
    <mergeCell ref="B9:D9"/>
    <mergeCell ref="E20:M20"/>
    <mergeCell ref="B10:D10"/>
    <mergeCell ref="E10:M10"/>
    <mergeCell ref="B19:D19"/>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6" t="s">
        <v>304</v>
      </c>
      <c r="I21" s="286"/>
      <c r="J21" s="286"/>
      <c r="K21" s="286"/>
      <c r="L21" s="286"/>
    </row>
    <row r="22" spans="4:12" ht="15" customHeight="1">
      <c r="D22" s="153" t="s">
        <v>34</v>
      </c>
      <c r="E22" s="123">
        <v>1.2</v>
      </c>
      <c r="H22" s="287" t="s">
        <v>305</v>
      </c>
      <c r="I22" s="287" t="s">
        <v>306</v>
      </c>
      <c r="J22" s="287"/>
      <c r="K22" s="287"/>
      <c r="L22" s="287"/>
    </row>
    <row r="23" spans="4:12" ht="15" customHeight="1">
      <c r="D23" s="153" t="s">
        <v>35</v>
      </c>
      <c r="E23" s="123">
        <v>1.1000000000000001</v>
      </c>
      <c r="H23" s="287"/>
      <c r="I23" s="242" t="s">
        <v>307</v>
      </c>
      <c r="J23" s="242" t="s">
        <v>308</v>
      </c>
      <c r="K23" s="242" t="s">
        <v>309</v>
      </c>
      <c r="L23" s="242" t="s">
        <v>310</v>
      </c>
    </row>
    <row r="24" spans="4:12" ht="15" customHeight="1">
      <c r="D24" s="153" t="s">
        <v>36</v>
      </c>
      <c r="E24" s="123">
        <v>1</v>
      </c>
      <c r="H24" s="243" t="s">
        <v>311</v>
      </c>
      <c r="I24" s="244">
        <v>1</v>
      </c>
      <c r="J24" s="244">
        <v>0.75</v>
      </c>
      <c r="K24" s="244">
        <v>0.5</v>
      </c>
      <c r="L24" s="244">
        <v>0.2</v>
      </c>
    </row>
    <row r="25" spans="4:12" ht="15" customHeight="1">
      <c r="D25" s="153" t="s">
        <v>37</v>
      </c>
      <c r="E25" s="123">
        <v>0.9</v>
      </c>
      <c r="H25" s="243" t="s">
        <v>96</v>
      </c>
      <c r="I25" s="244">
        <v>0.8</v>
      </c>
      <c r="J25" s="244">
        <v>0.6</v>
      </c>
      <c r="K25" s="244">
        <v>0.4</v>
      </c>
      <c r="L25" s="244">
        <v>0.16</v>
      </c>
    </row>
    <row r="26" spans="4:12" ht="15" customHeight="1">
      <c r="D26" s="153" t="s">
        <v>38</v>
      </c>
      <c r="E26" s="123">
        <v>0.8</v>
      </c>
      <c r="H26" s="243" t="s">
        <v>312</v>
      </c>
      <c r="I26" s="244">
        <v>0.6</v>
      </c>
      <c r="J26" s="244">
        <v>0.45</v>
      </c>
      <c r="K26" s="244">
        <v>0.3</v>
      </c>
      <c r="L26" s="244">
        <v>0.12</v>
      </c>
    </row>
    <row r="27" spans="4:12" ht="15" customHeight="1">
      <c r="D27" s="153" t="s">
        <v>39</v>
      </c>
      <c r="E27" s="123">
        <v>0.7</v>
      </c>
      <c r="H27" s="243" t="s">
        <v>313</v>
      </c>
      <c r="I27" s="244">
        <v>0.4</v>
      </c>
      <c r="J27" s="244">
        <v>0.3</v>
      </c>
      <c r="K27" s="244">
        <v>0.2</v>
      </c>
      <c r="L27" s="244">
        <v>0.08</v>
      </c>
    </row>
    <row r="28" spans="4:12" ht="15">
      <c r="H28" s="243" t="s">
        <v>314</v>
      </c>
      <c r="I28" s="244">
        <v>0.2</v>
      </c>
      <c r="J28" s="244">
        <v>0.15</v>
      </c>
      <c r="K28" s="244">
        <v>0.1</v>
      </c>
      <c r="L28" s="244">
        <v>0.04</v>
      </c>
    </row>
    <row r="32" spans="4:12" ht="15" customHeight="1">
      <c r="D32" s="284" t="s">
        <v>40</v>
      </c>
      <c r="E32" s="193" t="s">
        <v>41</v>
      </c>
      <c r="F32" s="193"/>
      <c r="G32" s="193"/>
    </row>
    <row r="33" spans="4:7" ht="30" customHeight="1">
      <c r="D33" s="285"/>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315</v>
      </c>
      <c r="B1" s="246" t="s">
        <v>316</v>
      </c>
      <c r="C1" s="246" t="s">
        <v>33</v>
      </c>
    </row>
    <row r="2" spans="1:3" ht="24" customHeight="1">
      <c r="A2" s="288" t="s">
        <v>317</v>
      </c>
      <c r="B2" s="289" t="s">
        <v>318</v>
      </c>
      <c r="C2" s="290">
        <v>1.3</v>
      </c>
    </row>
    <row r="3" spans="1:3" ht="12.75" customHeight="1">
      <c r="A3" s="288"/>
      <c r="B3" s="289"/>
      <c r="C3" s="290"/>
    </row>
    <row r="4" spans="1:3" ht="27.75" customHeight="1">
      <c r="A4" s="288" t="s">
        <v>319</v>
      </c>
      <c r="B4" s="289" t="s">
        <v>320</v>
      </c>
      <c r="C4" s="290">
        <v>1.2</v>
      </c>
    </row>
    <row r="5" spans="1:3" ht="12.75" customHeight="1">
      <c r="A5" s="288"/>
      <c r="B5" s="289"/>
      <c r="C5" s="290"/>
    </row>
    <row r="6" spans="1:3" ht="28.5" customHeight="1">
      <c r="A6" s="288" t="s">
        <v>321</v>
      </c>
      <c r="B6" s="289" t="s">
        <v>322</v>
      </c>
      <c r="C6" s="290">
        <v>1.1000000000000001</v>
      </c>
    </row>
    <row r="7" spans="1:3" ht="12.75" customHeight="1">
      <c r="A7" s="288"/>
      <c r="B7" s="289"/>
      <c r="C7" s="290"/>
    </row>
    <row r="8" spans="1:3" ht="44.25" customHeight="1">
      <c r="A8" s="288" t="s">
        <v>105</v>
      </c>
      <c r="B8" s="289" t="s">
        <v>323</v>
      </c>
      <c r="C8" s="290">
        <v>1</v>
      </c>
    </row>
    <row r="9" spans="1:3" ht="12.75" customHeight="1">
      <c r="A9" s="288"/>
      <c r="B9" s="289"/>
      <c r="C9" s="290"/>
    </row>
    <row r="10" spans="1:3" ht="47.25" customHeight="1">
      <c r="A10" s="288" t="s">
        <v>129</v>
      </c>
      <c r="B10" s="289" t="s">
        <v>324</v>
      </c>
      <c r="C10" s="290">
        <v>0.9</v>
      </c>
    </row>
    <row r="11" spans="1:3" ht="12.75" customHeight="1">
      <c r="A11" s="288"/>
      <c r="B11" s="289"/>
      <c r="C11" s="290"/>
    </row>
    <row r="12" spans="1:3" ht="32.25" customHeight="1">
      <c r="A12" s="288" t="s">
        <v>116</v>
      </c>
      <c r="B12" s="289" t="s">
        <v>325</v>
      </c>
      <c r="C12" s="290">
        <v>0.8</v>
      </c>
    </row>
    <row r="13" spans="1:3" ht="12.75" customHeight="1">
      <c r="A13" s="288"/>
      <c r="B13" s="289"/>
      <c r="C13" s="290"/>
    </row>
    <row r="14" spans="1:3" ht="32.25" customHeight="1">
      <c r="A14" s="288" t="s">
        <v>326</v>
      </c>
      <c r="B14" s="289" t="s">
        <v>327</v>
      </c>
      <c r="C14" s="290">
        <v>0.7</v>
      </c>
    </row>
    <row r="15" spans="1:3" ht="12.75" customHeight="1">
      <c r="A15" s="288"/>
      <c r="B15" s="289"/>
      <c r="C15" s="290"/>
    </row>
    <row r="16" spans="1:3" ht="47.25" customHeight="1">
      <c r="A16" s="288" t="s">
        <v>106</v>
      </c>
      <c r="B16" s="289" t="s">
        <v>328</v>
      </c>
      <c r="C16" s="290">
        <v>0.6</v>
      </c>
    </row>
    <row r="17" spans="1:9">
      <c r="A17" s="288"/>
      <c r="B17" s="289"/>
      <c r="C17" s="290"/>
    </row>
    <row r="18" spans="1:9" ht="15">
      <c r="E18" s="286" t="s">
        <v>304</v>
      </c>
      <c r="F18" s="286"/>
      <c r="G18" s="286"/>
      <c r="H18" s="286"/>
      <c r="I18" s="286"/>
    </row>
    <row r="19" spans="1:9" ht="15">
      <c r="E19" s="287" t="s">
        <v>305</v>
      </c>
      <c r="F19" s="287" t="s">
        <v>306</v>
      </c>
      <c r="G19" s="287"/>
      <c r="H19" s="287"/>
      <c r="I19" s="287"/>
    </row>
    <row r="20" spans="1:9" ht="15">
      <c r="E20" s="287"/>
      <c r="F20" s="245" t="s">
        <v>307</v>
      </c>
      <c r="G20" s="245" t="s">
        <v>308</v>
      </c>
      <c r="H20" s="245" t="s">
        <v>309</v>
      </c>
      <c r="I20" s="245" t="s">
        <v>310</v>
      </c>
    </row>
    <row r="21" spans="1:9" ht="15">
      <c r="E21" s="243" t="s">
        <v>311</v>
      </c>
      <c r="F21" s="244">
        <v>1</v>
      </c>
      <c r="G21" s="244">
        <v>0.75</v>
      </c>
      <c r="H21" s="244">
        <v>0.5</v>
      </c>
      <c r="I21" s="244">
        <v>0.2</v>
      </c>
    </row>
    <row r="22" spans="1:9" ht="15">
      <c r="E22" s="243" t="s">
        <v>96</v>
      </c>
      <c r="F22" s="244">
        <v>0.8</v>
      </c>
      <c r="G22" s="244">
        <v>0.6</v>
      </c>
      <c r="H22" s="244">
        <v>0.4</v>
      </c>
      <c r="I22" s="244">
        <v>0.16</v>
      </c>
    </row>
    <row r="23" spans="1:9" ht="15">
      <c r="E23" s="243" t="s">
        <v>312</v>
      </c>
      <c r="F23" s="244">
        <v>0.6</v>
      </c>
      <c r="G23" s="244">
        <v>0.45</v>
      </c>
      <c r="H23" s="244">
        <v>0.3</v>
      </c>
      <c r="I23" s="244">
        <v>0.12</v>
      </c>
    </row>
    <row r="24" spans="1:9" ht="15">
      <c r="E24" s="243" t="s">
        <v>313</v>
      </c>
      <c r="F24" s="244">
        <v>0.4</v>
      </c>
      <c r="G24" s="244">
        <v>0.3</v>
      </c>
      <c r="H24" s="244">
        <v>0.2</v>
      </c>
      <c r="I24" s="244">
        <v>0.08</v>
      </c>
    </row>
    <row r="25" spans="1:9" ht="15">
      <c r="E25" s="243" t="s">
        <v>314</v>
      </c>
      <c r="F25" s="244">
        <v>0.2</v>
      </c>
      <c r="G25" s="244">
        <v>0.15</v>
      </c>
      <c r="H25" s="244">
        <v>0.1</v>
      </c>
      <c r="I25" s="244">
        <v>0.04</v>
      </c>
    </row>
  </sheetData>
  <mergeCells count="27">
    <mergeCell ref="A2:A3"/>
    <mergeCell ref="B2:B3"/>
    <mergeCell ref="C2:C3"/>
    <mergeCell ref="A4:A5"/>
    <mergeCell ref="B4:B5"/>
    <mergeCell ref="C4:C5"/>
    <mergeCell ref="A6:A7"/>
    <mergeCell ref="B6:B7"/>
    <mergeCell ref="C6:C7"/>
    <mergeCell ref="A8:A9"/>
    <mergeCell ref="B8:B9"/>
    <mergeCell ref="C8:C9"/>
    <mergeCell ref="A10:A11"/>
    <mergeCell ref="B10:B11"/>
    <mergeCell ref="C10:C11"/>
    <mergeCell ref="A12:A13"/>
    <mergeCell ref="B12:B13"/>
    <mergeCell ref="C12:C13"/>
    <mergeCell ref="E18:I18"/>
    <mergeCell ref="E19:E20"/>
    <mergeCell ref="F19:I19"/>
    <mergeCell ref="A14:A15"/>
    <mergeCell ref="B14:B15"/>
    <mergeCell ref="C14:C15"/>
    <mergeCell ref="A16:A17"/>
    <mergeCell ref="B16:B17"/>
    <mergeCell ref="C16:C17"/>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2"/>
  <sheetViews>
    <sheetView topLeftCell="B1" workbookViewId="0">
      <selection activeCell="I12" sqref="I12:J12"/>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322" t="str">
        <f>C16</f>
        <v>MATRÍCULA 11.173</v>
      </c>
      <c r="D4" s="285"/>
      <c r="E4" s="285"/>
      <c r="F4" s="285"/>
      <c r="G4" s="285"/>
      <c r="H4" s="285"/>
      <c r="I4" s="285"/>
      <c r="J4" s="285"/>
      <c r="L4" s="207"/>
      <c r="M4" s="207"/>
      <c r="N4" s="207"/>
      <c r="O4" s="208">
        <v>13.6783</v>
      </c>
      <c r="P4" s="208">
        <v>141.85040000000001</v>
      </c>
      <c r="Q4" s="207">
        <f>P4+O4</f>
        <v>155.52870000000001</v>
      </c>
      <c r="R4" s="207"/>
      <c r="S4" s="207"/>
      <c r="T4" s="207"/>
    </row>
    <row r="5" spans="3:20">
      <c r="C5" s="319" t="s">
        <v>61</v>
      </c>
      <c r="D5" s="264"/>
      <c r="E5" s="319" t="s">
        <v>62</v>
      </c>
      <c r="F5" s="264"/>
      <c r="G5" s="319" t="s">
        <v>63</v>
      </c>
      <c r="H5" s="264"/>
      <c r="I5" s="313" t="s">
        <v>64</v>
      </c>
      <c r="J5" s="264"/>
      <c r="L5" s="207"/>
      <c r="M5" s="207"/>
      <c r="N5" s="207" t="s">
        <v>65</v>
      </c>
      <c r="O5" s="207"/>
      <c r="P5" s="207"/>
      <c r="Q5" s="207"/>
      <c r="R5" s="207"/>
      <c r="S5" s="207"/>
      <c r="T5" s="207"/>
    </row>
    <row r="6" spans="3:20">
      <c r="C6" s="297">
        <f>AMOSTRAS!E6</f>
        <v>52.034300000000002</v>
      </c>
      <c r="D6" s="252"/>
      <c r="E6" s="312" t="s">
        <v>66</v>
      </c>
      <c r="F6" s="252"/>
      <c r="G6" s="296" t="s">
        <v>67</v>
      </c>
      <c r="H6" s="252"/>
      <c r="I6" s="299" t="s">
        <v>67</v>
      </c>
      <c r="J6" s="252"/>
      <c r="L6" s="207">
        <v>231.63</v>
      </c>
      <c r="M6" s="207"/>
      <c r="N6" s="207">
        <f>L6+7.12</f>
        <v>238.75</v>
      </c>
      <c r="O6" s="207"/>
      <c r="P6" s="207"/>
      <c r="Q6" s="207"/>
      <c r="R6" s="207">
        <f>P4+O4+N6</f>
        <v>394.27870000000001</v>
      </c>
      <c r="S6" s="207"/>
      <c r="T6" s="207"/>
    </row>
    <row r="7" spans="3:20">
      <c r="C7" s="318" t="s">
        <v>68</v>
      </c>
      <c r="D7" s="251"/>
      <c r="E7" s="251"/>
      <c r="F7" s="251"/>
      <c r="G7" s="251"/>
      <c r="H7" s="251"/>
      <c r="I7" s="251"/>
      <c r="J7" s="252"/>
      <c r="L7" s="207"/>
      <c r="M7" s="207"/>
      <c r="N7" s="207"/>
      <c r="O7" s="207"/>
      <c r="P7" s="207"/>
      <c r="Q7" s="207"/>
      <c r="R7" s="207">
        <f>C6-R6</f>
        <v>-342.24440000000004</v>
      </c>
      <c r="S7" s="207" t="s">
        <v>69</v>
      </c>
      <c r="T7" s="207"/>
    </row>
    <row r="8" spans="3:20">
      <c r="C8" s="300" t="s">
        <v>61</v>
      </c>
      <c r="D8" s="252"/>
      <c r="E8" s="300" t="s">
        <v>70</v>
      </c>
      <c r="F8" s="252"/>
      <c r="G8" s="300" t="s">
        <v>71</v>
      </c>
      <c r="H8" s="252"/>
      <c r="I8" s="317" t="s">
        <v>72</v>
      </c>
      <c r="J8" s="252"/>
      <c r="L8" s="207"/>
      <c r="M8" s="207"/>
      <c r="N8" s="207"/>
      <c r="O8" s="207"/>
      <c r="P8" s="207"/>
      <c r="Q8" s="207"/>
      <c r="R8" s="207"/>
      <c r="S8" s="207"/>
      <c r="T8" s="207"/>
    </row>
    <row r="9" spans="3:20">
      <c r="C9" s="312">
        <v>52.034300000000002</v>
      </c>
      <c r="D9" s="252"/>
      <c r="E9" s="296" t="s">
        <v>302</v>
      </c>
      <c r="F9" s="252"/>
      <c r="G9" s="297">
        <v>80</v>
      </c>
      <c r="H9" s="252"/>
      <c r="I9" s="299">
        <v>0.65039999999999998</v>
      </c>
      <c r="J9" s="252"/>
      <c r="L9" s="207"/>
      <c r="M9" s="207"/>
      <c r="N9" s="207"/>
      <c r="O9" s="207"/>
      <c r="P9" s="207"/>
      <c r="Q9" s="207"/>
      <c r="R9" s="207"/>
      <c r="S9" s="207"/>
      <c r="T9" s="207"/>
    </row>
    <row r="10" spans="3:20">
      <c r="C10" s="318" t="s">
        <v>73</v>
      </c>
      <c r="D10" s="251"/>
      <c r="E10" s="251"/>
      <c r="F10" s="251"/>
      <c r="G10" s="251"/>
      <c r="H10" s="251"/>
      <c r="I10" s="251"/>
      <c r="J10" s="252"/>
      <c r="L10" s="207"/>
      <c r="M10" s="207"/>
      <c r="N10" s="207"/>
      <c r="O10" s="207"/>
      <c r="P10" s="207"/>
      <c r="Q10" s="207"/>
      <c r="R10" s="207"/>
      <c r="S10" s="207"/>
      <c r="T10" s="207"/>
    </row>
    <row r="11" spans="3:20">
      <c r="C11" s="300" t="s">
        <v>61</v>
      </c>
      <c r="D11" s="252"/>
      <c r="E11" s="300" t="s">
        <v>62</v>
      </c>
      <c r="F11" s="252"/>
      <c r="G11" s="300" t="s">
        <v>63</v>
      </c>
      <c r="H11" s="252"/>
      <c r="I11" s="317" t="s">
        <v>74</v>
      </c>
      <c r="J11" s="252"/>
    </row>
    <row r="12" spans="3:20">
      <c r="C12" s="312">
        <v>52.034300000000002</v>
      </c>
      <c r="D12" s="252"/>
      <c r="E12" s="312">
        <v>18.2121</v>
      </c>
      <c r="F12" s="252"/>
      <c r="G12" s="296">
        <v>1.7411000000000001</v>
      </c>
      <c r="H12" s="252"/>
      <c r="I12" s="324">
        <v>9.7928999999999995</v>
      </c>
      <c r="J12" s="252"/>
    </row>
    <row r="13" spans="3:20">
      <c r="C13" s="300" t="s">
        <v>75</v>
      </c>
      <c r="D13" s="252"/>
      <c r="E13" s="296" t="s">
        <v>76</v>
      </c>
      <c r="F13" s="252"/>
      <c r="G13" s="300" t="s">
        <v>77</v>
      </c>
      <c r="H13" s="252"/>
      <c r="I13" s="299" t="s">
        <v>78</v>
      </c>
      <c r="J13" s="252"/>
    </row>
    <row r="16" spans="3:20">
      <c r="C16" s="314" t="s">
        <v>301</v>
      </c>
      <c r="D16" s="315"/>
      <c r="E16" s="315"/>
      <c r="F16" s="315"/>
      <c r="G16" s="315"/>
      <c r="H16" s="315"/>
      <c r="I16" s="316"/>
    </row>
    <row r="17" spans="3:10">
      <c r="C17" s="318" t="s">
        <v>79</v>
      </c>
      <c r="D17" s="251"/>
      <c r="E17" s="252"/>
      <c r="F17" s="318" t="s">
        <v>80</v>
      </c>
      <c r="G17" s="252"/>
      <c r="H17" s="318" t="s">
        <v>81</v>
      </c>
      <c r="I17" s="252"/>
    </row>
    <row r="18" spans="3:10" ht="15">
      <c r="C18" s="306" t="s">
        <v>303</v>
      </c>
      <c r="D18" s="307"/>
      <c r="E18" s="308"/>
      <c r="F18" s="310">
        <f>AMOSTRAS!E11</f>
        <v>7.23</v>
      </c>
      <c r="G18" s="311"/>
      <c r="H18" s="291">
        <f>F18/C6</f>
        <v>0.13894681008488632</v>
      </c>
      <c r="I18" s="292"/>
    </row>
    <row r="19" spans="3:10">
      <c r="C19" s="309" t="s">
        <v>300</v>
      </c>
      <c r="D19" s="251"/>
      <c r="E19" s="252"/>
      <c r="F19" s="297">
        <f>AMOSTRAS!E12</f>
        <v>24.851099999999999</v>
      </c>
      <c r="G19" s="252"/>
      <c r="H19" s="298">
        <f>AMOSTRAS!F12</f>
        <v>0.4775907430291173</v>
      </c>
      <c r="I19" s="252"/>
    </row>
    <row r="20" spans="3:10" s="247" customFormat="1">
      <c r="C20" s="293" t="s">
        <v>329</v>
      </c>
      <c r="D20" s="294"/>
      <c r="E20" s="295"/>
      <c r="F20" s="320">
        <v>1.7411000000000001</v>
      </c>
      <c r="G20" s="321"/>
      <c r="H20" s="302">
        <f>F20/C12</f>
        <v>3.3460621167191638E-2</v>
      </c>
      <c r="I20" s="303"/>
    </row>
    <row r="21" spans="3:10">
      <c r="C21" s="293" t="s">
        <v>330</v>
      </c>
      <c r="D21" s="294"/>
      <c r="E21" s="295"/>
      <c r="F21" s="304">
        <v>18.2121</v>
      </c>
      <c r="G21" s="305"/>
      <c r="H21" s="302">
        <f>F21/C12</f>
        <v>0.35000182571880467</v>
      </c>
      <c r="I21" s="303"/>
    </row>
    <row r="22" spans="3:10">
      <c r="C22" s="301" t="s">
        <v>82</v>
      </c>
      <c r="D22" s="251"/>
      <c r="E22" s="252"/>
      <c r="F22" s="323">
        <f>SUM(F18:G21)</f>
        <v>52.034300000000002</v>
      </c>
      <c r="G22" s="252"/>
      <c r="H22" s="298">
        <f>SUM(H18:I21)</f>
        <v>0.99999999999999989</v>
      </c>
      <c r="I22" s="252"/>
      <c r="J22" s="204"/>
    </row>
  </sheetData>
  <mergeCells count="50">
    <mergeCell ref="F22:G22"/>
    <mergeCell ref="F19:G19"/>
    <mergeCell ref="C17:E17"/>
    <mergeCell ref="E13:F13"/>
    <mergeCell ref="G6:H6"/>
    <mergeCell ref="G13:H13"/>
    <mergeCell ref="C9:D9"/>
    <mergeCell ref="E9:F9"/>
    <mergeCell ref="F17:G17"/>
    <mergeCell ref="H17:I17"/>
    <mergeCell ref="C12:D12"/>
    <mergeCell ref="I12:J12"/>
    <mergeCell ref="E11:F11"/>
    <mergeCell ref="G5:H5"/>
    <mergeCell ref="F20:G20"/>
    <mergeCell ref="H20:I20"/>
    <mergeCell ref="C4:J4"/>
    <mergeCell ref="C10:J10"/>
    <mergeCell ref="C19:E19"/>
    <mergeCell ref="F18:G18"/>
    <mergeCell ref="E6:F6"/>
    <mergeCell ref="C21:E21"/>
    <mergeCell ref="I5:J5"/>
    <mergeCell ref="C16:I16"/>
    <mergeCell ref="I8:J8"/>
    <mergeCell ref="C8:D8"/>
    <mergeCell ref="C7:J7"/>
    <mergeCell ref="E12:F12"/>
    <mergeCell ref="C5:D5"/>
    <mergeCell ref="I11:J11"/>
    <mergeCell ref="E5:F5"/>
    <mergeCell ref="G8:H8"/>
    <mergeCell ref="E8:F8"/>
    <mergeCell ref="C11:D11"/>
    <mergeCell ref="H18:I18"/>
    <mergeCell ref="C20:E20"/>
    <mergeCell ref="G12:H12"/>
    <mergeCell ref="C6:D6"/>
    <mergeCell ref="H22:I22"/>
    <mergeCell ref="I6:J6"/>
    <mergeCell ref="G11:H11"/>
    <mergeCell ref="H19:I19"/>
    <mergeCell ref="C13:D13"/>
    <mergeCell ref="I13:J13"/>
    <mergeCell ref="G9:H9"/>
    <mergeCell ref="C22:E22"/>
    <mergeCell ref="I9:J9"/>
    <mergeCell ref="H21:I21"/>
    <mergeCell ref="F21:G21"/>
    <mergeCell ref="C18:E18"/>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zoomScale="85" zoomScaleNormal="85" workbookViewId="0">
      <selection activeCell="F13" sqref="F13"/>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84" t="s">
        <v>83</v>
      </c>
      <c r="C3" s="385"/>
      <c r="D3" s="385"/>
      <c r="E3" s="385"/>
      <c r="F3" s="385"/>
      <c r="G3" s="385"/>
      <c r="H3" s="385"/>
      <c r="I3" s="385"/>
      <c r="L3" s="325" t="s">
        <v>84</v>
      </c>
      <c r="M3" s="252"/>
    </row>
    <row r="4" spans="2:14" ht="15" customHeight="1">
      <c r="B4" s="331" t="s">
        <v>85</v>
      </c>
      <c r="C4" s="332"/>
      <c r="D4" s="332"/>
      <c r="E4" s="343" t="s">
        <v>297</v>
      </c>
      <c r="F4" s="285"/>
      <c r="G4" s="163" t="s">
        <v>86</v>
      </c>
      <c r="H4" s="386" t="s">
        <v>298</v>
      </c>
      <c r="I4" s="254"/>
      <c r="J4" s="186"/>
      <c r="L4" s="153" t="s">
        <v>87</v>
      </c>
      <c r="M4" s="230">
        <f>SUM(H20+H34+H48+H62+H76+H90)/6</f>
        <v>14456.007605946534</v>
      </c>
    </row>
    <row r="5" spans="2:14" ht="15" customHeight="1">
      <c r="B5" s="334" t="s">
        <v>88</v>
      </c>
      <c r="C5" s="285"/>
      <c r="D5" s="285"/>
      <c r="E5" s="326" t="s">
        <v>89</v>
      </c>
      <c r="F5" s="285"/>
      <c r="G5" s="163" t="s">
        <v>90</v>
      </c>
      <c r="H5" s="367" t="s">
        <v>49</v>
      </c>
      <c r="I5" s="254"/>
      <c r="L5" s="153" t="s">
        <v>91</v>
      </c>
      <c r="M5" s="230">
        <f>M4*4.84</f>
        <v>69967.076812781219</v>
      </c>
    </row>
    <row r="6" spans="2:14" ht="15" customHeight="1">
      <c r="B6" s="334" t="s">
        <v>92</v>
      </c>
      <c r="C6" s="285"/>
      <c r="D6" s="285"/>
      <c r="E6" s="369">
        <v>52.034300000000002</v>
      </c>
      <c r="F6" s="285"/>
      <c r="G6" s="163" t="s">
        <v>93</v>
      </c>
      <c r="H6" s="388" t="s">
        <v>299</v>
      </c>
      <c r="I6" s="254"/>
    </row>
    <row r="7" spans="2:14" ht="15" customHeight="1">
      <c r="B7" s="165"/>
      <c r="C7" s="328" t="s">
        <v>95</v>
      </c>
      <c r="D7" s="285"/>
      <c r="E7" s="375" t="s">
        <v>135</v>
      </c>
      <c r="F7" s="285"/>
      <c r="G7" s="163" t="s">
        <v>97</v>
      </c>
      <c r="H7" s="347">
        <f ca="1">TODAY()</f>
        <v>45845</v>
      </c>
      <c r="I7" s="254"/>
    </row>
    <row r="8" spans="2:14" ht="15" customHeight="1">
      <c r="B8" s="165"/>
      <c r="C8" s="328" t="s">
        <v>98</v>
      </c>
      <c r="D8" s="285"/>
      <c r="E8" s="366">
        <v>11173</v>
      </c>
      <c r="F8" s="285"/>
      <c r="G8" s="163" t="s">
        <v>99</v>
      </c>
      <c r="H8" s="358"/>
      <c r="I8" s="254"/>
      <c r="J8" s="226"/>
      <c r="K8" s="226"/>
      <c r="L8" s="226"/>
      <c r="M8" s="226"/>
      <c r="N8" s="226"/>
    </row>
    <row r="9" spans="2:14" ht="15" customHeight="1">
      <c r="B9" s="345" t="s">
        <v>100</v>
      </c>
      <c r="C9" s="285"/>
      <c r="D9" s="285"/>
      <c r="E9" s="285"/>
      <c r="F9" s="285"/>
      <c r="G9" s="285"/>
      <c r="H9" s="285"/>
      <c r="I9" s="254"/>
      <c r="J9" s="226"/>
      <c r="K9" s="226"/>
      <c r="L9" s="226"/>
      <c r="M9" s="226"/>
      <c r="N9" s="226"/>
    </row>
    <row r="10" spans="2:14" ht="15" customHeight="1">
      <c r="B10" s="327" t="s">
        <v>101</v>
      </c>
      <c r="C10" s="285"/>
      <c r="D10" s="285"/>
      <c r="E10" s="166" t="s">
        <v>102</v>
      </c>
      <c r="F10" s="166" t="s">
        <v>103</v>
      </c>
      <c r="G10" s="340" t="s">
        <v>104</v>
      </c>
      <c r="H10" s="285"/>
      <c r="I10" s="167"/>
      <c r="J10" s="226"/>
      <c r="K10" s="226"/>
      <c r="L10" s="226"/>
      <c r="M10" s="226"/>
      <c r="N10" s="226"/>
    </row>
    <row r="11" spans="2:14" ht="15" customHeight="1">
      <c r="B11" s="354" t="s">
        <v>105</v>
      </c>
      <c r="C11" s="355"/>
      <c r="D11" s="355"/>
      <c r="E11" s="240">
        <v>7.23</v>
      </c>
      <c r="F11" s="241">
        <f>E11/E6</f>
        <v>0.13894681008488632</v>
      </c>
      <c r="G11" s="356">
        <v>1</v>
      </c>
      <c r="H11" s="356"/>
      <c r="I11" s="167"/>
      <c r="J11" s="226"/>
      <c r="K11" s="226"/>
      <c r="L11" s="226"/>
      <c r="M11" s="226"/>
      <c r="N11" s="226"/>
    </row>
    <row r="12" spans="2:14" ht="15" customHeight="1">
      <c r="B12" s="365" t="s">
        <v>116</v>
      </c>
      <c r="C12" s="285"/>
      <c r="D12" s="285"/>
      <c r="E12" s="220">
        <f>32.0811-E11</f>
        <v>24.851099999999999</v>
      </c>
      <c r="F12" s="169">
        <f>E12/E6</f>
        <v>0.4775907430291173</v>
      </c>
      <c r="G12" s="330">
        <v>0.8</v>
      </c>
      <c r="H12" s="285"/>
      <c r="I12" s="167"/>
      <c r="J12" s="226"/>
      <c r="K12" s="226"/>
      <c r="L12" s="226"/>
      <c r="M12" s="226"/>
      <c r="N12" s="226"/>
    </row>
    <row r="13" spans="2:14" ht="15" customHeight="1">
      <c r="B13" s="376" t="s">
        <v>106</v>
      </c>
      <c r="C13" s="285"/>
      <c r="D13" s="285"/>
      <c r="E13" s="202">
        <f>18.2121+1.7411</f>
        <v>19.953199999999999</v>
      </c>
      <c r="F13" s="169">
        <f>E13/E6</f>
        <v>0.38346244688599634</v>
      </c>
      <c r="G13" s="330">
        <v>0.6</v>
      </c>
      <c r="H13" s="285"/>
      <c r="I13" s="167"/>
      <c r="J13" s="226"/>
      <c r="K13" s="229">
        <v>2.8391000000000002</v>
      </c>
      <c r="L13" s="229">
        <v>1.8496999999999999</v>
      </c>
      <c r="M13" s="226"/>
      <c r="N13" s="226"/>
    </row>
    <row r="14" spans="2:14" ht="15" customHeight="1">
      <c r="B14" s="357" t="s">
        <v>82</v>
      </c>
      <c r="C14" s="260"/>
      <c r="D14" s="260"/>
      <c r="E14" s="170">
        <f>SUM(E11:E13)</f>
        <v>52.034300000000002</v>
      </c>
      <c r="F14" s="171">
        <f>SUM(F11:F13)</f>
        <v>1</v>
      </c>
      <c r="G14" s="353">
        <f>(F12*G12)+(F13*G13)+F11*G11</f>
        <v>0.75109687263977798</v>
      </c>
      <c r="H14" s="260"/>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51" t="s">
        <v>107</v>
      </c>
      <c r="C16" s="285"/>
      <c r="D16" s="285"/>
      <c r="E16" s="285"/>
      <c r="F16" s="285"/>
      <c r="G16" s="285"/>
      <c r="H16" s="285"/>
      <c r="I16" s="285"/>
      <c r="K16" s="203"/>
    </row>
    <row r="17" spans="2:11" ht="15" customHeight="1">
      <c r="B17" s="331" t="s">
        <v>108</v>
      </c>
      <c r="C17" s="332"/>
      <c r="D17" s="332"/>
      <c r="E17" s="329" t="s">
        <v>109</v>
      </c>
      <c r="F17" s="285"/>
      <c r="G17" s="163" t="s">
        <v>86</v>
      </c>
      <c r="H17" s="341" t="s">
        <v>110</v>
      </c>
      <c r="I17" s="254"/>
      <c r="K17" s="203" t="s">
        <v>111</v>
      </c>
    </row>
    <row r="18" spans="2:11" ht="15" customHeight="1">
      <c r="B18" s="334" t="s">
        <v>88</v>
      </c>
      <c r="C18" s="285"/>
      <c r="D18" s="285"/>
      <c r="E18" s="326" t="s">
        <v>89</v>
      </c>
      <c r="F18" s="285"/>
      <c r="G18" s="163" t="s">
        <v>90</v>
      </c>
      <c r="H18" s="339" t="s">
        <v>49</v>
      </c>
      <c r="I18" s="254"/>
      <c r="K18" s="203"/>
    </row>
    <row r="19" spans="2:11" ht="15" customHeight="1">
      <c r="B19" s="334" t="s">
        <v>92</v>
      </c>
      <c r="C19" s="285"/>
      <c r="D19" s="285"/>
      <c r="E19" s="368">
        <f>3500*4.84</f>
        <v>16940</v>
      </c>
      <c r="F19" s="285"/>
      <c r="G19" s="163" t="s">
        <v>93</v>
      </c>
      <c r="H19" s="360" t="s">
        <v>94</v>
      </c>
      <c r="I19" s="254"/>
    </row>
    <row r="20" spans="2:11" ht="15" customHeight="1">
      <c r="B20" s="211"/>
      <c r="C20" s="328" t="s">
        <v>112</v>
      </c>
      <c r="D20" s="285"/>
      <c r="E20" s="374">
        <f>180000000</f>
        <v>180000000</v>
      </c>
      <c r="F20" s="285"/>
      <c r="G20" s="163" t="s">
        <v>113</v>
      </c>
      <c r="H20" s="363">
        <f>E20/E19</f>
        <v>10625.737898465171</v>
      </c>
      <c r="I20" s="254"/>
      <c r="K20" s="221">
        <f>H20*4.84</f>
        <v>51428.571428571428</v>
      </c>
    </row>
    <row r="21" spans="2:11" ht="15" customHeight="1">
      <c r="B21" s="212"/>
      <c r="C21" s="328" t="s">
        <v>114</v>
      </c>
      <c r="D21" s="285"/>
      <c r="E21" s="335" t="s">
        <v>115</v>
      </c>
      <c r="F21" s="285"/>
      <c r="G21" s="163" t="s">
        <v>97</v>
      </c>
      <c r="H21" s="347">
        <f ca="1">TODAY()</f>
        <v>45845</v>
      </c>
      <c r="I21" s="254"/>
    </row>
    <row r="22" spans="2:11" ht="15" customHeight="1">
      <c r="B22" s="212"/>
      <c r="C22" s="328" t="s">
        <v>95</v>
      </c>
      <c r="D22" s="285"/>
      <c r="E22" s="329" t="s">
        <v>96</v>
      </c>
      <c r="F22" s="285"/>
      <c r="G22" s="163" t="s">
        <v>99</v>
      </c>
      <c r="H22" s="371"/>
      <c r="I22" s="254"/>
      <c r="K22" s="238"/>
    </row>
    <row r="23" spans="2:11" ht="15" customHeight="1">
      <c r="B23" s="345" t="s">
        <v>100</v>
      </c>
      <c r="C23" s="285"/>
      <c r="D23" s="285"/>
      <c r="E23" s="285"/>
      <c r="F23" s="285"/>
      <c r="G23" s="285"/>
      <c r="H23" s="285"/>
      <c r="I23" s="254"/>
    </row>
    <row r="24" spans="2:11" ht="15" customHeight="1">
      <c r="B24" s="327" t="s">
        <v>101</v>
      </c>
      <c r="C24" s="285"/>
      <c r="D24" s="285"/>
      <c r="E24" s="166" t="s">
        <v>102</v>
      </c>
      <c r="F24" s="166" t="s">
        <v>103</v>
      </c>
      <c r="G24" s="340" t="s">
        <v>104</v>
      </c>
      <c r="H24" s="285"/>
      <c r="I24" s="213"/>
    </row>
    <row r="25" spans="2:11" ht="15" customHeight="1">
      <c r="B25" s="338" t="s">
        <v>105</v>
      </c>
      <c r="C25" s="285"/>
      <c r="D25" s="285"/>
      <c r="E25" s="214">
        <f>600 *4.84</f>
        <v>2904</v>
      </c>
      <c r="F25" s="215">
        <f>E25/E19</f>
        <v>0.17142857142857143</v>
      </c>
      <c r="G25" s="344">
        <v>1</v>
      </c>
      <c r="H25" s="285"/>
      <c r="I25" s="213"/>
    </row>
    <row r="26" spans="2:11" ht="15" customHeight="1">
      <c r="B26" s="236"/>
      <c r="C26" s="237" t="s">
        <v>116</v>
      </c>
      <c r="D26" s="218"/>
      <c r="E26" s="214">
        <f>E19-(E25+E27)</f>
        <v>8107</v>
      </c>
      <c r="F26" s="215">
        <f>E26/E19</f>
        <v>0.47857142857142859</v>
      </c>
      <c r="G26" s="344">
        <v>0.8</v>
      </c>
      <c r="H26" s="285"/>
      <c r="I26" s="213"/>
    </row>
    <row r="27" spans="2:11" ht="15" customHeight="1">
      <c r="B27" s="377" t="s">
        <v>106</v>
      </c>
      <c r="C27" s="285"/>
      <c r="D27" s="285"/>
      <c r="E27" s="214">
        <f>E19*0.35</f>
        <v>5929</v>
      </c>
      <c r="F27" s="215">
        <f>E27/E19</f>
        <v>0.35</v>
      </c>
      <c r="G27" s="344">
        <v>0.6</v>
      </c>
      <c r="H27" s="285"/>
      <c r="I27" s="213"/>
    </row>
    <row r="28" spans="2:11" ht="15" customHeight="1">
      <c r="B28" s="357" t="s">
        <v>82</v>
      </c>
      <c r="C28" s="260"/>
      <c r="D28" s="260"/>
      <c r="E28" s="170">
        <f>SUM(E25:E27)</f>
        <v>16940</v>
      </c>
      <c r="F28" s="171">
        <f>SUM(F25:F27)</f>
        <v>1</v>
      </c>
      <c r="G28" s="353">
        <f>F25*G25+F26*G26+F27*G27</f>
        <v>0.76428571428571423</v>
      </c>
      <c r="H28" s="260"/>
      <c r="I28" s="216"/>
    </row>
    <row r="29" spans="2:11" ht="15" customHeight="1">
      <c r="B29" s="217"/>
      <c r="C29" s="217"/>
      <c r="D29" s="217"/>
      <c r="E29" s="217"/>
      <c r="F29" s="217"/>
      <c r="G29" s="217"/>
      <c r="H29" s="217"/>
      <c r="I29" s="217"/>
    </row>
    <row r="30" spans="2:11" ht="15" customHeight="1">
      <c r="B30" s="351" t="s">
        <v>117</v>
      </c>
      <c r="C30" s="285"/>
      <c r="D30" s="285"/>
      <c r="E30" s="285"/>
      <c r="F30" s="285"/>
      <c r="G30" s="285"/>
      <c r="H30" s="285"/>
      <c r="I30" s="285"/>
    </row>
    <row r="31" spans="2:11" ht="15" customHeight="1">
      <c r="B31" s="331" t="s">
        <v>108</v>
      </c>
      <c r="C31" s="332"/>
      <c r="D31" s="332"/>
      <c r="E31" s="329" t="s">
        <v>118</v>
      </c>
      <c r="F31" s="285"/>
      <c r="G31" s="163" t="s">
        <v>86</v>
      </c>
      <c r="H31" s="341" t="s">
        <v>119</v>
      </c>
      <c r="I31" s="254"/>
      <c r="J31" s="185"/>
      <c r="K31" s="152" t="s">
        <v>120</v>
      </c>
    </row>
    <row r="32" spans="2:11" ht="15" customHeight="1">
      <c r="B32" s="334" t="s">
        <v>88</v>
      </c>
      <c r="C32" s="285"/>
      <c r="D32" s="285"/>
      <c r="E32" s="326" t="s">
        <v>89</v>
      </c>
      <c r="F32" s="285"/>
      <c r="G32" s="163" t="s">
        <v>90</v>
      </c>
      <c r="H32" s="339" t="s">
        <v>44</v>
      </c>
      <c r="I32" s="254"/>
      <c r="K32" s="203"/>
    </row>
    <row r="33" spans="2:11" ht="15" customHeight="1">
      <c r="B33" s="334" t="s">
        <v>92</v>
      </c>
      <c r="C33" s="285"/>
      <c r="D33" s="285"/>
      <c r="E33" s="380">
        <v>1258.4000000000001</v>
      </c>
      <c r="F33" s="285"/>
      <c r="G33" s="163" t="s">
        <v>93</v>
      </c>
      <c r="H33" s="339" t="s">
        <v>94</v>
      </c>
      <c r="I33" s="254"/>
      <c r="K33" s="203"/>
    </row>
    <row r="34" spans="2:11" ht="15" customHeight="1">
      <c r="B34" s="211"/>
      <c r="C34" s="328" t="s">
        <v>112</v>
      </c>
      <c r="D34" s="285"/>
      <c r="E34" s="374">
        <v>16900000</v>
      </c>
      <c r="F34" s="285"/>
      <c r="G34" s="163" t="s">
        <v>113</v>
      </c>
      <c r="H34" s="363">
        <f>E34/E33</f>
        <v>13429.752066115701</v>
      </c>
      <c r="I34" s="254"/>
      <c r="K34" s="221">
        <f>H34*4.84</f>
        <v>64999.999999999993</v>
      </c>
    </row>
    <row r="35" spans="2:11" ht="15" customHeight="1">
      <c r="B35" s="212"/>
      <c r="C35" s="328" t="s">
        <v>114</v>
      </c>
      <c r="D35" s="285"/>
      <c r="E35" s="335" t="s">
        <v>115</v>
      </c>
      <c r="F35" s="285"/>
      <c r="G35" s="163" t="s">
        <v>97</v>
      </c>
      <c r="H35" s="347">
        <f ca="1">TODAY()</f>
        <v>45845</v>
      </c>
      <c r="I35" s="254"/>
    </row>
    <row r="36" spans="2:11" ht="15" customHeight="1">
      <c r="B36" s="212"/>
      <c r="C36" s="328" t="s">
        <v>95</v>
      </c>
      <c r="D36" s="285"/>
      <c r="E36" s="329" t="s">
        <v>96</v>
      </c>
      <c r="F36" s="285"/>
      <c r="G36" s="163" t="s">
        <v>99</v>
      </c>
      <c r="H36" s="371"/>
      <c r="I36" s="254"/>
    </row>
    <row r="37" spans="2:11" ht="15" customHeight="1">
      <c r="B37" s="345" t="s">
        <v>100</v>
      </c>
      <c r="C37" s="285"/>
      <c r="D37" s="285"/>
      <c r="E37" s="285"/>
      <c r="F37" s="285"/>
      <c r="G37" s="285"/>
      <c r="H37" s="285"/>
      <c r="I37" s="254"/>
      <c r="K37" s="238"/>
    </row>
    <row r="38" spans="2:11" ht="15" customHeight="1">
      <c r="B38" s="327" t="s">
        <v>101</v>
      </c>
      <c r="C38" s="285"/>
      <c r="D38" s="285"/>
      <c r="E38" s="166" t="s">
        <v>102</v>
      </c>
      <c r="F38" s="166" t="s">
        <v>103</v>
      </c>
      <c r="G38" s="340" t="s">
        <v>104</v>
      </c>
      <c r="H38" s="285"/>
      <c r="I38" s="213"/>
    </row>
    <row r="39" spans="2:11" ht="15" customHeight="1">
      <c r="B39" s="338" t="s">
        <v>105</v>
      </c>
      <c r="C39" s="285"/>
      <c r="D39" s="285"/>
      <c r="E39" s="214">
        <v>145.19999999999999</v>
      </c>
      <c r="F39" s="215">
        <f>E39/E33</f>
        <v>0.11538461538461536</v>
      </c>
      <c r="G39" s="344">
        <v>1</v>
      </c>
      <c r="H39" s="285"/>
      <c r="I39" s="213"/>
    </row>
    <row r="40" spans="2:11" ht="15" customHeight="1">
      <c r="B40" s="231"/>
      <c r="C40" s="237" t="s">
        <v>116</v>
      </c>
      <c r="D40" s="218"/>
      <c r="E40" s="214">
        <f>E33-(E39+E41)</f>
        <v>671.24991999999997</v>
      </c>
      <c r="F40" s="215">
        <f>E40/E33</f>
        <v>0.53341538461538451</v>
      </c>
      <c r="G40" s="344">
        <v>0.8</v>
      </c>
      <c r="H40" s="285"/>
      <c r="I40" s="213"/>
    </row>
    <row r="41" spans="2:11" ht="15" customHeight="1">
      <c r="B41" s="377" t="s">
        <v>106</v>
      </c>
      <c r="C41" s="285"/>
      <c r="D41" s="285"/>
      <c r="E41" s="214">
        <f>E33*0.3512</f>
        <v>441.95008000000007</v>
      </c>
      <c r="F41" s="215">
        <f>E41/E33</f>
        <v>0.35120000000000001</v>
      </c>
      <c r="G41" s="344">
        <v>0.6</v>
      </c>
      <c r="H41" s="285"/>
      <c r="I41" s="213"/>
    </row>
    <row r="42" spans="2:11" ht="15" customHeight="1">
      <c r="B42" s="357" t="s">
        <v>82</v>
      </c>
      <c r="C42" s="260"/>
      <c r="D42" s="260"/>
      <c r="E42" s="170">
        <f>SUM(E39:E41)</f>
        <v>1258.4000000000001</v>
      </c>
      <c r="F42" s="171">
        <f>F39+F41+F40</f>
        <v>0.99999999999999989</v>
      </c>
      <c r="G42" s="353">
        <f>F41*G41+F39*G39+F40*G40</f>
        <v>0.75283692307692296</v>
      </c>
      <c r="H42" s="260"/>
      <c r="I42" s="216"/>
    </row>
    <row r="43" spans="2:11" ht="15" customHeight="1">
      <c r="B43" s="173"/>
      <c r="C43" s="173"/>
      <c r="D43" s="173"/>
      <c r="E43" s="173"/>
      <c r="F43" s="173"/>
      <c r="G43" s="173"/>
      <c r="H43" s="173"/>
      <c r="I43" s="173"/>
    </row>
    <row r="44" spans="2:11" ht="15" customHeight="1">
      <c r="B44" s="387" t="s">
        <v>121</v>
      </c>
      <c r="C44" s="285"/>
      <c r="D44" s="285"/>
      <c r="E44" s="285"/>
      <c r="F44" s="285"/>
      <c r="G44" s="285"/>
      <c r="H44" s="285"/>
      <c r="I44" s="285"/>
    </row>
    <row r="45" spans="2:11" ht="15" customHeight="1">
      <c r="B45" s="331" t="s">
        <v>108</v>
      </c>
      <c r="C45" s="332"/>
      <c r="D45" s="332"/>
      <c r="E45" s="326" t="s">
        <v>118</v>
      </c>
      <c r="F45" s="285"/>
      <c r="G45" s="163" t="s">
        <v>86</v>
      </c>
      <c r="H45" s="341" t="s">
        <v>119</v>
      </c>
      <c r="I45" s="254"/>
      <c r="K45" s="203" t="s">
        <v>122</v>
      </c>
    </row>
    <row r="46" spans="2:11" ht="15" customHeight="1">
      <c r="B46" s="334" t="s">
        <v>88</v>
      </c>
      <c r="C46" s="285"/>
      <c r="D46" s="285"/>
      <c r="E46" s="326" t="s">
        <v>89</v>
      </c>
      <c r="F46" s="285"/>
      <c r="G46" s="163" t="s">
        <v>90</v>
      </c>
      <c r="H46" s="339" t="s">
        <v>49</v>
      </c>
      <c r="I46" s="254"/>
    </row>
    <row r="47" spans="2:11" ht="15" customHeight="1">
      <c r="B47" s="334" t="s">
        <v>92</v>
      </c>
      <c r="C47" s="285"/>
      <c r="D47" s="285"/>
      <c r="E47" s="368">
        <v>430.76</v>
      </c>
      <c r="F47" s="285"/>
      <c r="G47" s="163" t="s">
        <v>93</v>
      </c>
      <c r="H47" s="360" t="s">
        <v>94</v>
      </c>
      <c r="I47" s="254"/>
      <c r="K47" s="203"/>
    </row>
    <row r="48" spans="2:11" ht="15" customHeight="1">
      <c r="B48" s="164"/>
      <c r="C48" s="328" t="s">
        <v>112</v>
      </c>
      <c r="D48" s="285"/>
      <c r="E48" s="350">
        <v>7120000</v>
      </c>
      <c r="F48" s="285"/>
      <c r="G48" s="163" t="s">
        <v>113</v>
      </c>
      <c r="H48" s="364">
        <f>E48/E47</f>
        <v>16528.92561983471</v>
      </c>
      <c r="I48" s="254"/>
      <c r="J48" s="221"/>
      <c r="K48" s="221">
        <f>H48*4.84</f>
        <v>80000</v>
      </c>
    </row>
    <row r="49" spans="2:11" ht="15" customHeight="1">
      <c r="B49" s="165"/>
      <c r="C49" s="328" t="s">
        <v>114</v>
      </c>
      <c r="D49" s="285"/>
      <c r="E49" s="335" t="s">
        <v>115</v>
      </c>
      <c r="F49" s="285"/>
      <c r="G49" s="163" t="s">
        <v>97</v>
      </c>
      <c r="H49" s="347">
        <f ca="1">TODAY()</f>
        <v>45845</v>
      </c>
      <c r="I49" s="254"/>
    </row>
    <row r="50" spans="2:11" ht="15" customHeight="1">
      <c r="B50" s="165"/>
      <c r="C50" s="328" t="s">
        <v>95</v>
      </c>
      <c r="D50" s="285"/>
      <c r="E50" s="329" t="s">
        <v>123</v>
      </c>
      <c r="F50" s="285"/>
      <c r="G50" s="163" t="s">
        <v>99</v>
      </c>
      <c r="H50" s="358"/>
      <c r="I50" s="254"/>
      <c r="K50" s="238"/>
    </row>
    <row r="51" spans="2:11" ht="15" customHeight="1">
      <c r="B51" s="345" t="s">
        <v>100</v>
      </c>
      <c r="C51" s="285"/>
      <c r="D51" s="285"/>
      <c r="E51" s="285"/>
      <c r="F51" s="285"/>
      <c r="G51" s="285"/>
      <c r="H51" s="285"/>
      <c r="I51" s="254"/>
    </row>
    <row r="52" spans="2:11" ht="15" customHeight="1">
      <c r="B52" s="327" t="s">
        <v>101</v>
      </c>
      <c r="C52" s="285"/>
      <c r="D52" s="285"/>
      <c r="E52" s="166" t="s">
        <v>102</v>
      </c>
      <c r="F52" s="166" t="s">
        <v>103</v>
      </c>
      <c r="G52" s="340" t="s">
        <v>104</v>
      </c>
      <c r="H52" s="285"/>
      <c r="I52" s="167"/>
    </row>
    <row r="53" spans="2:11" ht="15" customHeight="1">
      <c r="B53" s="338" t="s">
        <v>105</v>
      </c>
      <c r="C53" s="285"/>
      <c r="D53" s="285"/>
      <c r="E53" s="168">
        <v>145.19999999999999</v>
      </c>
      <c r="F53" s="169">
        <f>E53/E47</f>
        <v>0.33707865168539325</v>
      </c>
      <c r="G53" s="330">
        <v>1</v>
      </c>
      <c r="H53" s="285"/>
      <c r="I53" s="167"/>
    </row>
    <row r="54" spans="2:11" ht="15" customHeight="1">
      <c r="B54" s="231"/>
      <c r="C54" s="237" t="s">
        <v>116</v>
      </c>
      <c r="D54" s="192"/>
      <c r="E54" s="168">
        <f>E47-E53-E55</f>
        <v>133.71710000000002</v>
      </c>
      <c r="F54" s="169">
        <f>E54/E47</f>
        <v>0.31042134831460677</v>
      </c>
      <c r="G54" s="330">
        <v>0.8</v>
      </c>
      <c r="H54" s="285"/>
      <c r="I54" s="167"/>
    </row>
    <row r="55" spans="2:11" ht="15" customHeight="1">
      <c r="B55" s="200"/>
      <c r="C55" s="201" t="s">
        <v>106</v>
      </c>
      <c r="D55" s="192"/>
      <c r="E55" s="168">
        <f>E47*0.3525</f>
        <v>151.84289999999999</v>
      </c>
      <c r="F55" s="169">
        <f>E55/E47</f>
        <v>0.35249999999999998</v>
      </c>
      <c r="G55" s="330">
        <v>0.6</v>
      </c>
      <c r="H55" s="285"/>
      <c r="I55" s="167"/>
    </row>
    <row r="56" spans="2:11" ht="15" customHeight="1">
      <c r="B56" s="357" t="s">
        <v>82</v>
      </c>
      <c r="C56" s="260"/>
      <c r="D56" s="260"/>
      <c r="E56" s="170">
        <f>SUM(E53:E55)</f>
        <v>430.76</v>
      </c>
      <c r="F56" s="171">
        <f>SUM(F53:F55)</f>
        <v>1</v>
      </c>
      <c r="G56" s="353">
        <f>F53*G53+F55*G55+F54*G54</f>
        <v>0.79691573033707863</v>
      </c>
      <c r="H56" s="260"/>
      <c r="I56" s="172"/>
    </row>
    <row r="57" spans="2:11" ht="15" customHeight="1">
      <c r="B57" s="173"/>
      <c r="C57" s="173"/>
      <c r="D57" s="173"/>
      <c r="E57" s="173"/>
      <c r="F57" s="173"/>
      <c r="G57" s="173"/>
      <c r="H57" s="173"/>
      <c r="I57" s="173"/>
    </row>
    <row r="58" spans="2:11" ht="15" customHeight="1">
      <c r="B58" s="351" t="s">
        <v>124</v>
      </c>
      <c r="C58" s="285"/>
      <c r="D58" s="285"/>
      <c r="E58" s="285"/>
      <c r="F58" s="285"/>
      <c r="G58" s="285"/>
      <c r="H58" s="285"/>
      <c r="I58" s="285"/>
      <c r="K58" s="203"/>
    </row>
    <row r="59" spans="2:11" ht="15" customHeight="1">
      <c r="B59" s="331" t="s">
        <v>108</v>
      </c>
      <c r="C59" s="332"/>
      <c r="D59" s="332"/>
      <c r="E59" s="326" t="s">
        <v>125</v>
      </c>
      <c r="F59" s="285"/>
      <c r="G59" s="163" t="s">
        <v>86</v>
      </c>
      <c r="H59" s="370" t="s">
        <v>126</v>
      </c>
      <c r="I59" s="254"/>
      <c r="K59" s="203" t="s">
        <v>127</v>
      </c>
    </row>
    <row r="60" spans="2:11" ht="15" customHeight="1">
      <c r="B60" s="334" t="s">
        <v>88</v>
      </c>
      <c r="C60" s="285"/>
      <c r="D60" s="285"/>
      <c r="E60" s="326" t="s">
        <v>89</v>
      </c>
      <c r="F60" s="285"/>
      <c r="G60" s="163" t="s">
        <v>90</v>
      </c>
      <c r="H60" s="339" t="s">
        <v>49</v>
      </c>
      <c r="I60" s="254"/>
    </row>
    <row r="61" spans="2:11" ht="15" customHeight="1">
      <c r="B61" s="334" t="s">
        <v>92</v>
      </c>
      <c r="C61" s="285"/>
      <c r="D61" s="285"/>
      <c r="E61" s="372">
        <v>626</v>
      </c>
      <c r="F61" s="285"/>
      <c r="G61" s="163" t="s">
        <v>93</v>
      </c>
      <c r="H61" s="339" t="s">
        <v>128</v>
      </c>
      <c r="I61" s="254"/>
    </row>
    <row r="62" spans="2:11" ht="15" customHeight="1">
      <c r="B62" s="164"/>
      <c r="C62" s="328" t="s">
        <v>112</v>
      </c>
      <c r="D62" s="285"/>
      <c r="E62" s="381">
        <v>10500000</v>
      </c>
      <c r="F62" s="285"/>
      <c r="G62" s="163" t="s">
        <v>113</v>
      </c>
      <c r="H62" s="333">
        <f>E62/E61</f>
        <v>16773.162939297126</v>
      </c>
      <c r="I62" s="254"/>
      <c r="J62" s="221"/>
      <c r="K62" s="221">
        <f>H62*4.84</f>
        <v>81182.108626198082</v>
      </c>
    </row>
    <row r="63" spans="2:11" ht="15" customHeight="1">
      <c r="B63" s="165"/>
      <c r="C63" s="328" t="s">
        <v>114</v>
      </c>
      <c r="D63" s="285"/>
      <c r="E63" s="378" t="s">
        <v>115</v>
      </c>
      <c r="F63" s="285"/>
      <c r="G63" s="163" t="s">
        <v>97</v>
      </c>
      <c r="H63" s="347">
        <f ca="1">TODAY()</f>
        <v>45845</v>
      </c>
      <c r="I63" s="254"/>
    </row>
    <row r="64" spans="2:11" ht="15" customHeight="1">
      <c r="B64" s="165"/>
      <c r="C64" s="328" t="s">
        <v>95</v>
      </c>
      <c r="D64" s="285"/>
      <c r="E64" s="329" t="s">
        <v>96</v>
      </c>
      <c r="F64" s="285"/>
      <c r="G64" s="163" t="s">
        <v>99</v>
      </c>
      <c r="H64" s="358"/>
      <c r="I64" s="254"/>
      <c r="K64" s="238"/>
    </row>
    <row r="65" spans="2:11" ht="15" customHeight="1">
      <c r="B65" s="345" t="s">
        <v>100</v>
      </c>
      <c r="C65" s="285"/>
      <c r="D65" s="285"/>
      <c r="E65" s="285"/>
      <c r="F65" s="285"/>
      <c r="G65" s="285"/>
      <c r="H65" s="285"/>
      <c r="I65" s="254"/>
    </row>
    <row r="66" spans="2:11" ht="15" customHeight="1">
      <c r="B66" s="327" t="s">
        <v>101</v>
      </c>
      <c r="C66" s="285"/>
      <c r="D66" s="285"/>
      <c r="E66" s="166" t="s">
        <v>102</v>
      </c>
      <c r="F66" s="166" t="s">
        <v>103</v>
      </c>
      <c r="G66" s="340" t="s">
        <v>104</v>
      </c>
      <c r="H66" s="285"/>
      <c r="I66" s="167"/>
    </row>
    <row r="67" spans="2:11" ht="15" customHeight="1">
      <c r="B67" s="199"/>
      <c r="C67" s="237" t="s">
        <v>105</v>
      </c>
      <c r="D67" s="166"/>
      <c r="E67" s="168">
        <v>193</v>
      </c>
      <c r="F67" s="169">
        <f>E67/E61</f>
        <v>0.30830670926517573</v>
      </c>
      <c r="G67" s="330">
        <v>1</v>
      </c>
      <c r="H67" s="285"/>
      <c r="I67" s="167"/>
    </row>
    <row r="68" spans="2:11" ht="15" customHeight="1">
      <c r="B68" s="199"/>
      <c r="C68" s="235" t="s">
        <v>129</v>
      </c>
      <c r="D68" s="166"/>
      <c r="E68" s="168">
        <v>170</v>
      </c>
      <c r="F68" s="169">
        <f>E68/E61</f>
        <v>0.27156549520766771</v>
      </c>
      <c r="G68" s="330">
        <v>0.9</v>
      </c>
      <c r="H68" s="285"/>
      <c r="I68" s="167"/>
    </row>
    <row r="69" spans="2:11" ht="15" customHeight="1">
      <c r="B69" s="379" t="s">
        <v>106</v>
      </c>
      <c r="C69" s="285"/>
      <c r="D69" s="285"/>
      <c r="E69" s="168">
        <f>E61-E67-E68</f>
        <v>263</v>
      </c>
      <c r="F69" s="169">
        <f>E69/E61</f>
        <v>0.42012779552715657</v>
      </c>
      <c r="G69" s="330">
        <v>0.6</v>
      </c>
      <c r="H69" s="285"/>
      <c r="I69" s="167"/>
    </row>
    <row r="70" spans="2:11" ht="15" customHeight="1">
      <c r="B70" s="357" t="s">
        <v>82</v>
      </c>
      <c r="C70" s="260"/>
      <c r="D70" s="260"/>
      <c r="E70" s="170">
        <f>SUM(E67:E69)</f>
        <v>626</v>
      </c>
      <c r="F70" s="171">
        <f>SUM(F67:F69)</f>
        <v>1</v>
      </c>
      <c r="G70" s="353">
        <f>F67*G67+F69*G69+F68*G68</f>
        <v>0.80479233226837055</v>
      </c>
      <c r="H70" s="260"/>
      <c r="I70" s="172"/>
    </row>
    <row r="71" spans="2:11" ht="15" customHeight="1">
      <c r="B71" s="173"/>
      <c r="C71" s="173"/>
      <c r="D71" s="173"/>
      <c r="E71" s="173"/>
      <c r="F71" s="173"/>
      <c r="G71" s="173"/>
      <c r="H71" s="173"/>
      <c r="I71" s="173"/>
    </row>
    <row r="72" spans="2:11" ht="15" customHeight="1">
      <c r="B72" s="351" t="s">
        <v>130</v>
      </c>
      <c r="C72" s="285"/>
      <c r="D72" s="285"/>
      <c r="E72" s="285"/>
      <c r="F72" s="285"/>
      <c r="G72" s="285"/>
      <c r="H72" s="285"/>
      <c r="I72" s="285"/>
    </row>
    <row r="73" spans="2:11" ht="15" customHeight="1">
      <c r="B73" s="331" t="s">
        <v>108</v>
      </c>
      <c r="C73" s="332"/>
      <c r="D73" s="332"/>
      <c r="E73" s="329" t="s">
        <v>131</v>
      </c>
      <c r="F73" s="285"/>
      <c r="G73" s="163" t="s">
        <v>86</v>
      </c>
      <c r="H73" s="341" t="s">
        <v>132</v>
      </c>
      <c r="I73" s="254"/>
      <c r="K73" s="203" t="s">
        <v>133</v>
      </c>
    </row>
    <row r="74" spans="2:11" ht="15" customHeight="1">
      <c r="B74" s="334" t="s">
        <v>88</v>
      </c>
      <c r="C74" s="285"/>
      <c r="D74" s="285"/>
      <c r="E74" s="329" t="s">
        <v>134</v>
      </c>
      <c r="F74" s="285"/>
      <c r="G74" s="163" t="s">
        <v>90</v>
      </c>
      <c r="H74" s="339" t="s">
        <v>49</v>
      </c>
      <c r="I74" s="254"/>
    </row>
    <row r="75" spans="2:11" ht="15" customHeight="1">
      <c r="B75" s="334" t="s">
        <v>92</v>
      </c>
      <c r="C75" s="285"/>
      <c r="D75" s="285"/>
      <c r="E75" s="391">
        <f>730 *4.84</f>
        <v>3533.2</v>
      </c>
      <c r="F75" s="285"/>
      <c r="G75" s="163" t="s">
        <v>93</v>
      </c>
      <c r="H75" s="360" t="s">
        <v>94</v>
      </c>
      <c r="I75" s="254"/>
    </row>
    <row r="76" spans="2:11" ht="15" customHeight="1">
      <c r="B76" s="164"/>
      <c r="C76" s="328" t="s">
        <v>112</v>
      </c>
      <c r="D76" s="285"/>
      <c r="E76" s="350">
        <v>60000000</v>
      </c>
      <c r="F76" s="285"/>
      <c r="G76" s="163" t="s">
        <v>113</v>
      </c>
      <c r="H76" s="364">
        <f>E76/E75</f>
        <v>16981.772897090457</v>
      </c>
      <c r="I76" s="254"/>
    </row>
    <row r="77" spans="2:11" ht="15" customHeight="1">
      <c r="B77" s="165"/>
      <c r="C77" s="328" t="s">
        <v>114</v>
      </c>
      <c r="D77" s="285"/>
      <c r="E77" s="362" t="s">
        <v>115</v>
      </c>
      <c r="F77" s="285"/>
      <c r="G77" s="163" t="s">
        <v>97</v>
      </c>
      <c r="H77" s="347">
        <f ca="1">TODAY()</f>
        <v>45845</v>
      </c>
      <c r="I77" s="254"/>
      <c r="K77" s="221">
        <f>H76*4.84</f>
        <v>82191.780821917811</v>
      </c>
    </row>
    <row r="78" spans="2:11" ht="15" customHeight="1">
      <c r="B78" s="165"/>
      <c r="C78" s="328" t="s">
        <v>95</v>
      </c>
      <c r="D78" s="285"/>
      <c r="E78" s="329" t="s">
        <v>135</v>
      </c>
      <c r="F78" s="285"/>
      <c r="G78" s="163" t="s">
        <v>99</v>
      </c>
      <c r="H78" s="358"/>
      <c r="I78" s="254"/>
    </row>
    <row r="79" spans="2:11" ht="15" customHeight="1">
      <c r="B79" s="345" t="s">
        <v>100</v>
      </c>
      <c r="C79" s="285"/>
      <c r="D79" s="285"/>
      <c r="E79" s="285"/>
      <c r="F79" s="285"/>
      <c r="G79" s="285"/>
      <c r="H79" s="285"/>
      <c r="I79" s="254"/>
      <c r="K79" s="238"/>
    </row>
    <row r="80" spans="2:11" ht="15" customHeight="1">
      <c r="B80" s="327" t="s">
        <v>101</v>
      </c>
      <c r="C80" s="285"/>
      <c r="D80" s="285"/>
      <c r="E80" s="166" t="s">
        <v>102</v>
      </c>
      <c r="F80" s="166" t="s">
        <v>103</v>
      </c>
      <c r="G80" s="340" t="s">
        <v>104</v>
      </c>
      <c r="H80" s="285"/>
      <c r="I80" s="167"/>
    </row>
    <row r="81" spans="2:11" ht="15" customHeight="1">
      <c r="B81" s="337" t="s">
        <v>129</v>
      </c>
      <c r="C81" s="285"/>
      <c r="D81" s="285"/>
      <c r="E81" s="168">
        <f>410*4.84</f>
        <v>1984.3999999999999</v>
      </c>
      <c r="F81" s="169">
        <f>E81/E75</f>
        <v>0.56164383561643838</v>
      </c>
      <c r="G81" s="330">
        <v>0.9</v>
      </c>
      <c r="H81" s="285"/>
      <c r="I81" s="167"/>
    </row>
    <row r="82" spans="2:11" ht="15" customHeight="1">
      <c r="B82" s="337" t="s">
        <v>116</v>
      </c>
      <c r="C82" s="285"/>
      <c r="D82" s="285"/>
      <c r="E82" s="168">
        <f>E75-(E81+E83)</f>
        <v>306.52687999999989</v>
      </c>
      <c r="F82" s="169">
        <f>E82/E75</f>
        <v>8.6756164383561624E-2</v>
      </c>
      <c r="G82" s="330">
        <v>0.8</v>
      </c>
      <c r="H82" s="285"/>
      <c r="I82" s="167"/>
    </row>
    <row r="83" spans="2:11" ht="15" customHeight="1">
      <c r="B83" s="198"/>
      <c r="C83" s="197" t="s">
        <v>106</v>
      </c>
      <c r="D83" s="192"/>
      <c r="E83" s="223">
        <f>E75*0.3516</f>
        <v>1242.2731200000001</v>
      </c>
      <c r="F83" s="169">
        <f>E83/E75</f>
        <v>0.35160000000000002</v>
      </c>
      <c r="G83" s="330">
        <v>0.6</v>
      </c>
      <c r="H83" s="285"/>
      <c r="I83" s="167"/>
    </row>
    <row r="84" spans="2:11" ht="15" customHeight="1">
      <c r="B84" s="357" t="s">
        <v>82</v>
      </c>
      <c r="C84" s="260"/>
      <c r="D84" s="260"/>
      <c r="E84" s="170">
        <f>SUM(E81:E83)</f>
        <v>3533.2</v>
      </c>
      <c r="F84" s="171">
        <f>SUM(F81:F83)</f>
        <v>1</v>
      </c>
      <c r="G84" s="353">
        <f>F81*G81+F83*G83+F82*G82</f>
        <v>0.78584438356164399</v>
      </c>
      <c r="H84" s="260"/>
      <c r="I84" s="172"/>
    </row>
    <row r="85" spans="2:11" ht="15" customHeight="1">
      <c r="B85" s="173"/>
      <c r="C85" s="173"/>
      <c r="D85" s="173"/>
      <c r="E85" s="173"/>
      <c r="F85" s="173"/>
      <c r="G85" s="173"/>
      <c r="H85" s="173"/>
      <c r="I85" s="173"/>
    </row>
    <row r="86" spans="2:11" ht="15" customHeight="1">
      <c r="B86" s="351" t="s">
        <v>136</v>
      </c>
      <c r="C86" s="285"/>
      <c r="D86" s="285"/>
      <c r="E86" s="285"/>
      <c r="F86" s="285"/>
      <c r="G86" s="285"/>
      <c r="H86" s="285"/>
      <c r="I86" s="285"/>
      <c r="K86" s="203"/>
    </row>
    <row r="87" spans="2:11" ht="15" customHeight="1">
      <c r="B87" s="331" t="s">
        <v>108</v>
      </c>
      <c r="C87" s="332"/>
      <c r="D87" s="332"/>
      <c r="E87" s="326" t="s">
        <v>118</v>
      </c>
      <c r="F87" s="285"/>
      <c r="G87" s="163" t="s">
        <v>86</v>
      </c>
      <c r="H87" s="373" t="str">
        <f>H45</f>
        <v>(63) 99252-2282</v>
      </c>
      <c r="I87" s="254"/>
      <c r="K87" s="203" t="s">
        <v>137</v>
      </c>
    </row>
    <row r="88" spans="2:11" ht="15" customHeight="1">
      <c r="B88" s="334" t="s">
        <v>88</v>
      </c>
      <c r="C88" s="285"/>
      <c r="D88" s="285"/>
      <c r="E88" s="326" t="s">
        <v>89</v>
      </c>
      <c r="F88" s="285"/>
      <c r="G88" s="163" t="s">
        <v>90</v>
      </c>
      <c r="H88" s="339" t="s">
        <v>49</v>
      </c>
      <c r="I88" s="254"/>
    </row>
    <row r="89" spans="2:11" ht="15" customHeight="1">
      <c r="B89" s="334" t="s">
        <v>92</v>
      </c>
      <c r="C89" s="285"/>
      <c r="D89" s="285"/>
      <c r="E89" s="380">
        <f>733*4.84</f>
        <v>3547.72</v>
      </c>
      <c r="F89" s="285"/>
      <c r="G89" s="163" t="s">
        <v>93</v>
      </c>
      <c r="H89" s="360" t="s">
        <v>94</v>
      </c>
      <c r="I89" s="254"/>
    </row>
    <row r="90" spans="2:11" ht="15" customHeight="1">
      <c r="B90" s="164"/>
      <c r="C90" s="328" t="s">
        <v>112</v>
      </c>
      <c r="D90" s="285"/>
      <c r="E90" s="361">
        <v>43980000</v>
      </c>
      <c r="F90" s="285"/>
      <c r="G90" s="163" t="s">
        <v>113</v>
      </c>
      <c r="H90" s="333">
        <f>E90/E89</f>
        <v>12396.694214876034</v>
      </c>
      <c r="I90" s="254"/>
      <c r="K90" s="221">
        <f>H90*4.84</f>
        <v>60000</v>
      </c>
    </row>
    <row r="91" spans="2:11" ht="15" customHeight="1">
      <c r="B91" s="165"/>
      <c r="C91" s="328" t="s">
        <v>114</v>
      </c>
      <c r="D91" s="285"/>
      <c r="E91" s="336" t="s">
        <v>115</v>
      </c>
      <c r="F91" s="285"/>
      <c r="G91" s="163" t="s">
        <v>97</v>
      </c>
      <c r="H91" s="347">
        <f ca="1">TODAY()</f>
        <v>45845</v>
      </c>
      <c r="I91" s="254"/>
    </row>
    <row r="92" spans="2:11" ht="15" customHeight="1">
      <c r="B92" s="165"/>
      <c r="C92" s="328" t="s">
        <v>95</v>
      </c>
      <c r="D92" s="285"/>
      <c r="E92" s="329" t="s">
        <v>96</v>
      </c>
      <c r="F92" s="285"/>
      <c r="G92" s="163" t="s">
        <v>99</v>
      </c>
      <c r="H92" s="358"/>
      <c r="I92" s="254"/>
    </row>
    <row r="93" spans="2:11" ht="15" customHeight="1">
      <c r="B93" s="345" t="s">
        <v>100</v>
      </c>
      <c r="C93" s="285"/>
      <c r="D93" s="285"/>
      <c r="E93" s="285"/>
      <c r="F93" s="285"/>
      <c r="G93" s="285"/>
      <c r="H93" s="285"/>
      <c r="I93" s="254"/>
    </row>
    <row r="94" spans="2:11" ht="15" customHeight="1">
      <c r="B94" s="327" t="s">
        <v>101</v>
      </c>
      <c r="C94" s="285"/>
      <c r="D94" s="285"/>
      <c r="E94" s="166" t="s">
        <v>102</v>
      </c>
      <c r="F94" s="166" t="s">
        <v>103</v>
      </c>
      <c r="G94" s="340" t="s">
        <v>104</v>
      </c>
      <c r="H94" s="285"/>
      <c r="I94" s="167"/>
    </row>
    <row r="95" spans="2:11" ht="15" customHeight="1">
      <c r="B95" s="338" t="s">
        <v>105</v>
      </c>
      <c r="C95" s="285"/>
      <c r="D95" s="285"/>
      <c r="E95" s="234">
        <v>1100</v>
      </c>
      <c r="F95" s="169">
        <f>E95/E89</f>
        <v>0.31005829095870024</v>
      </c>
      <c r="G95" s="348">
        <v>1</v>
      </c>
      <c r="H95" s="285"/>
      <c r="I95" s="206"/>
    </row>
    <row r="96" spans="2:11" ht="15" customHeight="1">
      <c r="B96" s="231"/>
      <c r="C96" s="233" t="s">
        <v>116</v>
      </c>
      <c r="D96" s="232"/>
      <c r="E96" s="234">
        <f>E89-E95-E97</f>
        <v>1201.0511919999999</v>
      </c>
      <c r="F96" s="169">
        <f>E96/E89</f>
        <v>0.33854170904129977</v>
      </c>
      <c r="G96" s="348">
        <v>0.8</v>
      </c>
      <c r="H96" s="285"/>
      <c r="I96" s="206"/>
    </row>
    <row r="97" spans="2:12" ht="15" customHeight="1">
      <c r="B97" s="349" t="s">
        <v>106</v>
      </c>
      <c r="C97" s="285"/>
      <c r="D97" s="285"/>
      <c r="E97" s="168">
        <f>E89*0.3514</f>
        <v>1246.6688079999999</v>
      </c>
      <c r="F97" s="169">
        <f>E97/E89</f>
        <v>0.35139999999999999</v>
      </c>
      <c r="G97" s="330">
        <v>0.6</v>
      </c>
      <c r="H97" s="285"/>
      <c r="I97" s="167"/>
      <c r="K97" s="207"/>
      <c r="L97" s="207"/>
    </row>
    <row r="98" spans="2:12" ht="15" customHeight="1">
      <c r="B98" s="357" t="s">
        <v>82</v>
      </c>
      <c r="C98" s="260"/>
      <c r="D98" s="260"/>
      <c r="E98" s="170">
        <f>SUM(E95:E97)</f>
        <v>3547.72</v>
      </c>
      <c r="F98" s="171">
        <f>SUM(F95:F97)</f>
        <v>1</v>
      </c>
      <c r="G98" s="353">
        <f>F97*G97+F95*G95+F96*G96</f>
        <v>0.79173165819173996</v>
      </c>
      <c r="H98" s="260"/>
      <c r="I98" s="172"/>
      <c r="K98" s="207"/>
      <c r="L98" s="207"/>
    </row>
    <row r="99" spans="2:12" ht="15" customHeight="1">
      <c r="B99" s="173"/>
      <c r="C99" s="173"/>
      <c r="D99" s="173"/>
      <c r="E99" s="173"/>
      <c r="F99" s="173"/>
      <c r="G99" s="173"/>
      <c r="H99" s="173"/>
      <c r="I99" s="173"/>
      <c r="K99" s="207">
        <f>60*4.84</f>
        <v>290.39999999999998</v>
      </c>
      <c r="L99" s="207"/>
    </row>
    <row r="100" spans="2:12" ht="15" customHeight="1">
      <c r="B100" s="389"/>
      <c r="C100" s="285"/>
      <c r="D100" s="285"/>
      <c r="E100" s="285"/>
      <c r="F100" s="285"/>
      <c r="G100" s="285"/>
      <c r="H100" s="285"/>
      <c r="I100" s="285"/>
      <c r="K100" s="207"/>
      <c r="L100" s="207"/>
    </row>
    <row r="101" spans="2:12" ht="15" customHeight="1">
      <c r="B101" s="351" t="s">
        <v>138</v>
      </c>
      <c r="C101" s="285"/>
      <c r="D101" s="285"/>
      <c r="E101" s="285"/>
      <c r="F101" s="285"/>
      <c r="G101" s="285"/>
      <c r="H101" s="285"/>
      <c r="I101" s="285"/>
      <c r="K101" s="207"/>
      <c r="L101" s="207"/>
    </row>
    <row r="102" spans="2:12" ht="15" customHeight="1">
      <c r="B102" s="331" t="s">
        <v>108</v>
      </c>
      <c r="C102" s="332"/>
      <c r="D102" s="332"/>
      <c r="E102" s="342"/>
      <c r="F102" s="285"/>
      <c r="G102" s="163" t="s">
        <v>86</v>
      </c>
      <c r="H102" s="390"/>
      <c r="I102" s="254"/>
      <c r="K102" s="207"/>
      <c r="L102" s="207"/>
    </row>
    <row r="103" spans="2:12" ht="15" customHeight="1">
      <c r="B103" s="334" t="s">
        <v>88</v>
      </c>
      <c r="C103" s="285"/>
      <c r="D103" s="285"/>
      <c r="E103" s="352"/>
      <c r="F103" s="285"/>
      <c r="G103" s="163" t="s">
        <v>90</v>
      </c>
      <c r="H103" s="359"/>
      <c r="I103" s="254"/>
    </row>
    <row r="104" spans="2:12" ht="15" customHeight="1">
      <c r="B104" s="334" t="s">
        <v>92</v>
      </c>
      <c r="C104" s="285"/>
      <c r="D104" s="285"/>
      <c r="E104" s="372"/>
      <c r="F104" s="285"/>
      <c r="G104" s="163" t="s">
        <v>93</v>
      </c>
      <c r="H104" s="383"/>
      <c r="I104" s="254"/>
    </row>
    <row r="105" spans="2:12" ht="15" customHeight="1">
      <c r="B105" s="164"/>
      <c r="C105" s="328" t="s">
        <v>112</v>
      </c>
      <c r="D105" s="285"/>
      <c r="E105" s="361"/>
      <c r="F105" s="285"/>
      <c r="G105" s="163" t="s">
        <v>113</v>
      </c>
      <c r="H105" s="333"/>
      <c r="I105" s="254"/>
    </row>
    <row r="106" spans="2:12" ht="15" customHeight="1">
      <c r="B106" s="165"/>
      <c r="C106" s="328" t="s">
        <v>114</v>
      </c>
      <c r="D106" s="285"/>
      <c r="E106" s="336"/>
      <c r="F106" s="285"/>
      <c r="G106" s="163" t="s">
        <v>97</v>
      </c>
      <c r="H106" s="346"/>
      <c r="I106" s="254"/>
    </row>
    <row r="107" spans="2:12" ht="15" customHeight="1">
      <c r="B107" s="165"/>
      <c r="C107" s="328" t="s">
        <v>95</v>
      </c>
      <c r="D107" s="285"/>
      <c r="E107" s="382"/>
      <c r="F107" s="285"/>
      <c r="G107" s="163" t="s">
        <v>99</v>
      </c>
      <c r="H107" s="358"/>
      <c r="I107" s="254"/>
    </row>
    <row r="108" spans="2:12" ht="15" customHeight="1">
      <c r="B108" s="345" t="s">
        <v>100</v>
      </c>
      <c r="C108" s="285"/>
      <c r="D108" s="285"/>
      <c r="E108" s="285"/>
      <c r="F108" s="285"/>
      <c r="G108" s="285"/>
      <c r="H108" s="285"/>
      <c r="I108" s="254"/>
    </row>
    <row r="109" spans="2:12" ht="15" customHeight="1">
      <c r="B109" s="327" t="s">
        <v>101</v>
      </c>
      <c r="C109" s="285"/>
      <c r="D109" s="285"/>
      <c r="E109" s="166" t="s">
        <v>102</v>
      </c>
      <c r="F109" s="166" t="s">
        <v>103</v>
      </c>
      <c r="G109" s="340" t="s">
        <v>104</v>
      </c>
      <c r="H109" s="285"/>
      <c r="I109" s="167"/>
    </row>
    <row r="110" spans="2:12" ht="15" customHeight="1">
      <c r="B110" s="349" t="s">
        <v>105</v>
      </c>
      <c r="C110" s="285"/>
      <c r="D110" s="285"/>
      <c r="E110" s="168"/>
      <c r="F110" s="169"/>
      <c r="G110" s="330"/>
      <c r="H110" s="285"/>
      <c r="I110" s="167"/>
    </row>
    <row r="111" spans="2:12" ht="15" customHeight="1">
      <c r="B111" s="349" t="s">
        <v>106</v>
      </c>
      <c r="C111" s="285"/>
      <c r="D111" s="285"/>
      <c r="E111" s="168"/>
      <c r="F111" s="169"/>
      <c r="G111" s="330"/>
      <c r="H111" s="285"/>
      <c r="I111" s="167"/>
    </row>
    <row r="112" spans="2:12" ht="15" customHeight="1">
      <c r="B112" s="357" t="s">
        <v>82</v>
      </c>
      <c r="C112" s="260"/>
      <c r="D112" s="260"/>
      <c r="E112" s="170">
        <f>SUM(E110:E111)</f>
        <v>0</v>
      </c>
      <c r="F112" s="171">
        <f>SUM(F110:F111)</f>
        <v>0</v>
      </c>
      <c r="G112" s="353">
        <f>F110*G110+F111*G111</f>
        <v>0</v>
      </c>
      <c r="H112" s="260"/>
      <c r="I112" s="172"/>
    </row>
  </sheetData>
  <mergeCells count="229">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E74:F74"/>
    <mergeCell ref="C76:D76"/>
    <mergeCell ref="B16:I16"/>
    <mergeCell ref="E33:F33"/>
    <mergeCell ref="E31:F31"/>
    <mergeCell ref="H33:I33"/>
    <mergeCell ref="B33:D33"/>
    <mergeCell ref="B27:D27"/>
    <mergeCell ref="E46:F46"/>
    <mergeCell ref="C62:D62"/>
    <mergeCell ref="E62:F62"/>
    <mergeCell ref="C49:D49"/>
    <mergeCell ref="H50:I5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139</v>
      </c>
      <c r="C3" s="174" t="s">
        <v>80</v>
      </c>
      <c r="D3" s="175" t="s">
        <v>140</v>
      </c>
      <c r="E3" s="174" t="s">
        <v>141</v>
      </c>
      <c r="F3" s="175" t="s">
        <v>142</v>
      </c>
      <c r="G3" s="174" t="s">
        <v>75</v>
      </c>
      <c r="H3" s="175" t="s">
        <v>32</v>
      </c>
      <c r="I3" s="175" t="s">
        <v>22</v>
      </c>
      <c r="J3" s="174" t="s">
        <v>143</v>
      </c>
      <c r="K3" s="175" t="s">
        <v>144</v>
      </c>
      <c r="L3" s="225" t="s">
        <v>145</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tabSelected="1"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9"/>
      <c r="F1" s="394"/>
      <c r="G1" s="394"/>
      <c r="H1" s="394"/>
      <c r="I1" s="394"/>
      <c r="J1" s="394"/>
      <c r="K1" s="394"/>
      <c r="L1" s="394"/>
      <c r="M1" s="394"/>
      <c r="N1" s="394"/>
    </row>
    <row r="2" spans="1:18" ht="13.5" customHeight="1" thickBot="1"/>
    <row r="3" spans="1:18" ht="45" customHeight="1">
      <c r="A3" s="125" t="s">
        <v>146</v>
      </c>
      <c r="B3" s="126" t="s">
        <v>147</v>
      </c>
      <c r="C3" s="126" t="s">
        <v>148</v>
      </c>
      <c r="D3" s="126" t="s">
        <v>149</v>
      </c>
      <c r="E3" s="126" t="s">
        <v>150</v>
      </c>
      <c r="F3" s="126" t="s">
        <v>151</v>
      </c>
      <c r="G3" s="126" t="s">
        <v>152</v>
      </c>
      <c r="H3" s="126" t="s">
        <v>153</v>
      </c>
      <c r="I3" s="126" t="s">
        <v>154</v>
      </c>
      <c r="J3" s="126" t="s">
        <v>155</v>
      </c>
      <c r="K3" s="126" t="s">
        <v>156</v>
      </c>
      <c r="L3" s="126" t="s">
        <v>157</v>
      </c>
      <c r="M3" s="127" t="s">
        <v>158</v>
      </c>
      <c r="N3" s="127" t="s">
        <v>159</v>
      </c>
      <c r="O3" s="126" t="s">
        <v>160</v>
      </c>
      <c r="P3" s="126" t="s">
        <v>161</v>
      </c>
      <c r="Q3" s="126" t="s">
        <v>162</v>
      </c>
      <c r="R3" s="128" t="s">
        <v>163</v>
      </c>
    </row>
    <row r="4" spans="1:18" ht="15" customHeight="1">
      <c r="A4" s="129">
        <v>1</v>
      </c>
      <c r="B4" s="130" t="str">
        <f>AMOSTRAS!E18</f>
        <v>Guaraí - TO</v>
      </c>
      <c r="C4" s="130" t="s">
        <v>164</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165</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166</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167</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168</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169</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170</v>
      </c>
      <c r="B10" s="190" t="str">
        <f>AMOSTRAS!E5</f>
        <v>Guaraí - TO</v>
      </c>
      <c r="C10" s="190" t="s">
        <v>171</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92" t="s">
        <v>172</v>
      </c>
      <c r="B12" s="252"/>
      <c r="C12" s="400" t="s">
        <v>173</v>
      </c>
      <c r="D12" s="394"/>
      <c r="E12" s="394"/>
      <c r="F12" s="394"/>
      <c r="G12" s="394"/>
      <c r="H12" s="394"/>
      <c r="I12" s="394"/>
      <c r="J12" s="394"/>
      <c r="K12" s="394"/>
      <c r="L12" s="145"/>
      <c r="M12" s="144"/>
      <c r="N12" s="144"/>
      <c r="O12" s="144"/>
      <c r="P12" s="147" t="s">
        <v>174</v>
      </c>
      <c r="Q12" s="133">
        <f>TRUNC(AVERAGE(Q4:Q9),2)</f>
        <v>12704.2</v>
      </c>
      <c r="R12" s="146"/>
    </row>
    <row r="13" spans="1:18" ht="14.25" customHeight="1">
      <c r="A13" s="392" t="s">
        <v>175</v>
      </c>
      <c r="B13" s="252"/>
      <c r="C13" s="400" t="s">
        <v>176</v>
      </c>
      <c r="D13" s="394"/>
      <c r="E13" s="394"/>
      <c r="F13" s="394"/>
      <c r="G13" s="394"/>
      <c r="H13" s="394"/>
      <c r="I13" s="394"/>
      <c r="J13" s="394"/>
      <c r="K13" s="394"/>
      <c r="L13" s="144"/>
      <c r="M13" s="144"/>
      <c r="N13" s="144"/>
      <c r="O13" s="144"/>
      <c r="P13" s="147" t="s">
        <v>177</v>
      </c>
      <c r="Q13" s="133">
        <f>TRUNC(IF(Q12="","",_xlfn.STDEV.S(Q4:Q9)),2)</f>
        <v>1455.21</v>
      </c>
      <c r="R13" s="146"/>
    </row>
    <row r="14" spans="1:18" ht="14.25" customHeight="1">
      <c r="A14" s="392" t="str">
        <f>L3</f>
        <v>Benfeitorias Indexado³</v>
      </c>
      <c r="B14" s="252"/>
      <c r="C14" s="400" t="s">
        <v>178</v>
      </c>
      <c r="D14" s="394"/>
      <c r="E14" s="394"/>
      <c r="F14" s="394"/>
      <c r="G14" s="394"/>
      <c r="H14" s="394"/>
      <c r="I14" s="394"/>
      <c r="J14" s="394"/>
      <c r="K14" s="394"/>
      <c r="L14" s="144"/>
      <c r="M14" s="144"/>
      <c r="N14" s="144"/>
      <c r="O14" s="144"/>
      <c r="P14" s="147" t="s">
        <v>179</v>
      </c>
      <c r="Q14" s="133">
        <f>TRUNC(IF(Q12="","",Q12+Q13),2)</f>
        <v>14159.41</v>
      </c>
      <c r="R14" s="146"/>
    </row>
    <row r="15" spans="1:18" ht="14.25" customHeight="1">
      <c r="A15" s="392" t="s">
        <v>159</v>
      </c>
      <c r="B15" s="252"/>
      <c r="C15" s="400" t="s">
        <v>180</v>
      </c>
      <c r="D15" s="394"/>
      <c r="E15" s="394"/>
      <c r="F15" s="394"/>
      <c r="G15" s="394"/>
      <c r="H15" s="394"/>
      <c r="I15" s="394"/>
      <c r="J15" s="394"/>
      <c r="K15" s="394"/>
      <c r="L15" s="144"/>
      <c r="M15" s="144"/>
      <c r="N15" s="144"/>
      <c r="O15" s="144"/>
      <c r="P15" s="147" t="s">
        <v>181</v>
      </c>
      <c r="Q15" s="133">
        <f>TRUNC(IF(Q12="","",Q12-Q13),2)</f>
        <v>11248.99</v>
      </c>
      <c r="R15" s="146"/>
    </row>
    <row r="16" spans="1:18" ht="14.25" customHeight="1">
      <c r="A16" s="392" t="s">
        <v>161</v>
      </c>
      <c r="B16" s="252"/>
      <c r="C16" s="393" t="s">
        <v>182</v>
      </c>
      <c r="D16" s="394"/>
      <c r="E16" s="394"/>
      <c r="F16" s="394"/>
      <c r="G16" s="394"/>
      <c r="H16" s="394"/>
      <c r="I16" s="394"/>
      <c r="J16" s="394"/>
      <c r="K16" s="394"/>
      <c r="L16" s="144"/>
      <c r="M16" s="144"/>
      <c r="N16" s="144"/>
      <c r="O16" s="144"/>
      <c r="P16" s="144"/>
      <c r="Q16" s="144"/>
      <c r="R16" s="146"/>
    </row>
    <row r="17" spans="1:18" ht="28.5" customHeight="1">
      <c r="A17" s="392" t="s">
        <v>162</v>
      </c>
      <c r="B17" s="252"/>
      <c r="C17" s="393" t="s">
        <v>183</v>
      </c>
      <c r="D17" s="394"/>
      <c r="E17" s="394"/>
      <c r="F17" s="394"/>
      <c r="G17" s="394"/>
      <c r="H17" s="394"/>
      <c r="I17" s="394"/>
      <c r="J17" s="394"/>
      <c r="K17" s="394"/>
      <c r="L17" s="144"/>
      <c r="M17" s="147" t="s">
        <v>184</v>
      </c>
      <c r="N17" s="130">
        <v>4</v>
      </c>
      <c r="O17" s="144"/>
      <c r="P17" s="147" t="s">
        <v>185</v>
      </c>
      <c r="Q17" s="179">
        <f>TRUNC(AVERAGE(R4:R9),2)</f>
        <v>13189.81</v>
      </c>
      <c r="R17" s="146"/>
    </row>
    <row r="18" spans="1:18" ht="14.25" customHeight="1">
      <c r="A18" s="392" t="s">
        <v>179</v>
      </c>
      <c r="B18" s="252"/>
      <c r="C18" s="393" t="s">
        <v>186</v>
      </c>
      <c r="D18" s="394"/>
      <c r="E18" s="394"/>
      <c r="F18" s="394"/>
      <c r="G18" s="394"/>
      <c r="H18" s="394"/>
      <c r="I18" s="394"/>
      <c r="J18" s="394"/>
      <c r="K18" s="394"/>
      <c r="L18" s="144"/>
      <c r="M18" s="147" t="s">
        <v>187</v>
      </c>
      <c r="N18" s="130">
        <v>0.27100000000000002</v>
      </c>
      <c r="O18" s="144"/>
      <c r="P18" s="144"/>
      <c r="Q18" s="144"/>
      <c r="R18" s="146"/>
    </row>
    <row r="19" spans="1:18" ht="28.5" customHeight="1">
      <c r="A19" s="392" t="s">
        <v>181</v>
      </c>
      <c r="B19" s="252"/>
      <c r="C19" s="393" t="s">
        <v>188</v>
      </c>
      <c r="D19" s="394"/>
      <c r="E19" s="394"/>
      <c r="F19" s="394"/>
      <c r="G19" s="394"/>
      <c r="H19" s="394"/>
      <c r="I19" s="394"/>
      <c r="J19" s="394"/>
      <c r="K19" s="394"/>
      <c r="L19" s="144"/>
      <c r="M19" s="144"/>
      <c r="N19" s="144"/>
      <c r="O19" s="144"/>
      <c r="P19" s="147" t="s">
        <v>189</v>
      </c>
      <c r="Q19" s="133">
        <f>TRUNC(_xlfn.STDEV.S(R4:R9),2)</f>
        <v>937.24</v>
      </c>
      <c r="R19" s="146"/>
    </row>
    <row r="20" spans="1:18" ht="14.25" customHeight="1">
      <c r="A20" s="392" t="s">
        <v>163</v>
      </c>
      <c r="B20" s="252"/>
      <c r="C20" s="393" t="s">
        <v>190</v>
      </c>
      <c r="D20" s="394"/>
      <c r="E20" s="394"/>
      <c r="F20" s="394"/>
      <c r="G20" s="394"/>
      <c r="H20" s="394"/>
      <c r="I20" s="394"/>
      <c r="J20" s="394"/>
      <c r="K20" s="394"/>
      <c r="L20" s="144"/>
      <c r="M20" s="144"/>
      <c r="N20" s="144"/>
      <c r="O20" s="144"/>
      <c r="P20" s="147" t="s">
        <v>191</v>
      </c>
      <c r="Q20" s="191">
        <f>TRUNC(N18*(Q19/(SQRT(N17))),2)</f>
        <v>126.99</v>
      </c>
      <c r="R20" s="146"/>
    </row>
    <row r="21" spans="1:18" ht="14.25" customHeight="1">
      <c r="A21" s="392" t="s">
        <v>185</v>
      </c>
      <c r="B21" s="252"/>
      <c r="C21" s="393" t="s">
        <v>192</v>
      </c>
      <c r="D21" s="394"/>
      <c r="E21" s="394"/>
      <c r="F21" s="394"/>
      <c r="G21" s="394"/>
      <c r="H21" s="394"/>
      <c r="I21" s="394"/>
      <c r="J21" s="394"/>
      <c r="K21" s="394"/>
      <c r="L21" s="144"/>
      <c r="M21" s="144"/>
      <c r="N21" s="144"/>
      <c r="O21" s="144"/>
      <c r="P21" s="149" t="s">
        <v>193</v>
      </c>
      <c r="Q21" s="133">
        <f>TRUNC(IF(Q17="","",Q17+Q20),2)</f>
        <v>13316.8</v>
      </c>
      <c r="R21" s="146"/>
    </row>
    <row r="22" spans="1:18" ht="14.25" customHeight="1">
      <c r="A22" s="392" t="s">
        <v>191</v>
      </c>
      <c r="B22" s="252"/>
      <c r="C22" s="401" t="s">
        <v>194</v>
      </c>
      <c r="D22" s="394"/>
      <c r="E22" s="394"/>
      <c r="F22" s="394"/>
      <c r="G22" s="394"/>
      <c r="H22" s="394"/>
      <c r="I22" s="394"/>
      <c r="J22" s="394"/>
      <c r="K22" s="394"/>
      <c r="L22" s="394"/>
      <c r="M22" s="394"/>
      <c r="N22" s="394"/>
      <c r="O22" s="254"/>
      <c r="P22" s="147" t="s">
        <v>195</v>
      </c>
      <c r="Q22" s="133">
        <f>TRUNC(IF(Q17="","",Q17-Q20),2)</f>
        <v>13062.82</v>
      </c>
      <c r="R22" s="146"/>
    </row>
    <row r="23" spans="1:18" ht="14.25" customHeight="1">
      <c r="A23" s="392" t="s">
        <v>193</v>
      </c>
      <c r="B23" s="252"/>
      <c r="C23" s="393" t="s">
        <v>196</v>
      </c>
      <c r="D23" s="394"/>
      <c r="E23" s="394"/>
      <c r="F23" s="394"/>
      <c r="G23" s="394"/>
      <c r="H23" s="394"/>
      <c r="I23" s="394"/>
      <c r="J23" s="394"/>
      <c r="K23" s="394"/>
      <c r="L23" s="394"/>
      <c r="M23" s="144"/>
      <c r="N23" s="144"/>
      <c r="O23" s="144"/>
      <c r="P23" s="147" t="s">
        <v>197</v>
      </c>
      <c r="Q23" s="133">
        <f>TRUNC(IF(Q21="","",Q21-Q22),2)</f>
        <v>253.98</v>
      </c>
      <c r="R23" s="146"/>
    </row>
    <row r="24" spans="1:18" ht="30" customHeight="1">
      <c r="A24" s="392" t="s">
        <v>195</v>
      </c>
      <c r="B24" s="252"/>
      <c r="C24" s="393" t="s">
        <v>198</v>
      </c>
      <c r="D24" s="394"/>
      <c r="E24" s="394"/>
      <c r="F24" s="394"/>
      <c r="G24" s="394"/>
      <c r="H24" s="394"/>
      <c r="I24" s="394"/>
      <c r="J24" s="394"/>
      <c r="K24" s="394"/>
      <c r="L24" s="394"/>
      <c r="M24" s="144"/>
      <c r="N24" s="144"/>
      <c r="O24" s="144"/>
      <c r="P24" s="147" t="s">
        <v>199</v>
      </c>
      <c r="Q24" s="148">
        <f>IF(Q17="","",(Q23/Q17)*100)</f>
        <v>1.9255773964901695</v>
      </c>
      <c r="R24" s="146"/>
    </row>
    <row r="25" spans="1:18" ht="14.25" customHeight="1">
      <c r="A25" s="392" t="s">
        <v>197</v>
      </c>
      <c r="B25" s="252"/>
      <c r="C25" s="393" t="s">
        <v>200</v>
      </c>
      <c r="D25" s="394"/>
      <c r="E25" s="394"/>
      <c r="F25" s="394"/>
      <c r="G25" s="394"/>
      <c r="H25" s="394"/>
      <c r="I25" s="394"/>
      <c r="J25" s="394"/>
      <c r="K25" s="394"/>
      <c r="L25" s="144"/>
      <c r="M25" s="144"/>
      <c r="N25" s="144"/>
      <c r="O25" s="144"/>
      <c r="P25" s="144"/>
      <c r="Q25" s="144"/>
      <c r="R25" s="146"/>
    </row>
    <row r="26" spans="1:18" ht="15" customHeight="1" thickBot="1">
      <c r="A26" s="395" t="s">
        <v>201</v>
      </c>
      <c r="B26" s="396"/>
      <c r="C26" s="397" t="s">
        <v>202</v>
      </c>
      <c r="D26" s="398"/>
      <c r="E26" s="398"/>
      <c r="F26" s="398"/>
      <c r="G26" s="398"/>
      <c r="H26" s="398"/>
      <c r="I26" s="398"/>
      <c r="J26" s="398"/>
      <c r="K26" s="398"/>
      <c r="L26" s="150"/>
      <c r="M26" s="150"/>
      <c r="N26" s="150"/>
      <c r="O26" s="150"/>
      <c r="P26" s="150"/>
      <c r="Q26" s="150"/>
      <c r="R26" s="151"/>
    </row>
    <row r="28" spans="1:18">
      <c r="Q28" s="209"/>
      <c r="R28" s="210"/>
    </row>
    <row r="29" spans="1:18">
      <c r="P29" s="219">
        <f>Q17*4.84</f>
        <v>63838.680399999997</v>
      </c>
    </row>
  </sheetData>
  <mergeCells count="31">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L34"/>
  <sheetViews>
    <sheetView workbookViewId="0">
      <selection activeCell="F34" sqref="F34:H34"/>
    </sheetView>
  </sheetViews>
  <sheetFormatPr defaultRowHeight="12.75"/>
  <cols>
    <col min="10" max="10" width="11" customWidth="1"/>
    <col min="11" max="11" width="11.140625" customWidth="1"/>
  </cols>
  <sheetData>
    <row r="4" spans="3:12">
      <c r="C4" s="418" t="str">
        <f>'AREA UTIL'!C4</f>
        <v>MATRÍCULA 11.173</v>
      </c>
      <c r="D4" s="249"/>
      <c r="E4" s="249"/>
      <c r="F4" s="249"/>
      <c r="G4" s="249"/>
      <c r="H4" s="249"/>
    </row>
    <row r="5" spans="3:12">
      <c r="C5" s="418" t="s">
        <v>203</v>
      </c>
      <c r="D5" s="249"/>
      <c r="E5" s="249"/>
      <c r="F5" s="249"/>
      <c r="G5" s="249"/>
      <c r="H5" s="249"/>
    </row>
    <row r="6" spans="3:12">
      <c r="C6" s="403" t="s">
        <v>189</v>
      </c>
      <c r="D6" s="249"/>
      <c r="E6" s="249"/>
      <c r="F6" s="404">
        <f>'PLANILHA HOMOG'!Q19</f>
        <v>937.24</v>
      </c>
      <c r="G6" s="249"/>
      <c r="H6" s="254"/>
    </row>
    <row r="7" spans="3:12">
      <c r="C7" s="403" t="s">
        <v>204</v>
      </c>
      <c r="D7" s="249"/>
      <c r="E7" s="249"/>
      <c r="F7" s="404">
        <f>'PLANILHA HOMOG'!Q14</f>
        <v>14159.41</v>
      </c>
      <c r="G7" s="249"/>
      <c r="H7" s="254"/>
    </row>
    <row r="8" spans="3:12">
      <c r="C8" s="403" t="s">
        <v>205</v>
      </c>
      <c r="D8" s="249"/>
      <c r="E8" s="249"/>
      <c r="F8" s="404">
        <f>'PLANILHA HOMOG'!Q15</f>
        <v>11248.99</v>
      </c>
      <c r="G8" s="249"/>
      <c r="H8" s="254"/>
    </row>
    <row r="9" spans="3:12">
      <c r="C9" s="403" t="s">
        <v>206</v>
      </c>
      <c r="D9" s="249"/>
      <c r="E9" s="249"/>
      <c r="F9" s="406">
        <v>6</v>
      </c>
      <c r="G9" s="249"/>
      <c r="H9" s="254"/>
      <c r="J9" t="s">
        <v>207</v>
      </c>
    </row>
    <row r="10" spans="3:12">
      <c r="C10" s="403" t="s">
        <v>208</v>
      </c>
      <c r="D10" s="249"/>
      <c r="E10" s="249"/>
      <c r="F10" s="406">
        <v>1</v>
      </c>
      <c r="G10" s="249"/>
      <c r="H10" s="254"/>
      <c r="J10" t="s">
        <v>207</v>
      </c>
    </row>
    <row r="11" spans="3:12">
      <c r="C11" s="403" t="s">
        <v>199</v>
      </c>
      <c r="D11" s="249"/>
      <c r="E11" s="249"/>
      <c r="F11" s="415">
        <f>'PLANILHA HOMOG'!Q24</f>
        <v>1.9255773964901695</v>
      </c>
      <c r="G11" s="249"/>
      <c r="H11" s="254"/>
    </row>
    <row r="12" spans="3:12">
      <c r="C12" s="403" t="s">
        <v>209</v>
      </c>
      <c r="D12" s="249"/>
      <c r="E12" s="249"/>
      <c r="F12" s="406">
        <f>'PLANILHA HOMOG'!N18</f>
        <v>0.27100000000000002</v>
      </c>
      <c r="G12" s="249"/>
      <c r="H12" s="254"/>
    </row>
    <row r="13" spans="3:12">
      <c r="C13" s="403" t="s">
        <v>197</v>
      </c>
      <c r="D13" s="249"/>
      <c r="E13" s="249"/>
      <c r="F13" s="404">
        <f>'PLANILHA HOMOG'!Q23</f>
        <v>253.98</v>
      </c>
      <c r="G13" s="249"/>
      <c r="H13" s="254"/>
    </row>
    <row r="14" spans="3:12" ht="15" customHeight="1">
      <c r="C14" s="413" t="s">
        <v>210</v>
      </c>
      <c r="D14" s="251"/>
      <c r="E14" s="251"/>
      <c r="F14" s="412">
        <f>'PLANILHA HOMOG'!Q17</f>
        <v>13189.81</v>
      </c>
      <c r="G14" s="251"/>
      <c r="H14" s="252"/>
      <c r="J14" s="416">
        <f>F14*4.84</f>
        <v>63838.680399999997</v>
      </c>
      <c r="K14" s="249"/>
      <c r="L14" s="249"/>
    </row>
    <row r="15" spans="3:12">
      <c r="C15" s="420"/>
      <c r="D15" s="249"/>
      <c r="E15" s="249"/>
      <c r="F15" s="249"/>
      <c r="G15" s="249"/>
      <c r="H15" s="249"/>
    </row>
    <row r="16" spans="3:12">
      <c r="C16" s="402" t="s">
        <v>211</v>
      </c>
      <c r="D16" s="249"/>
      <c r="E16" s="249"/>
      <c r="F16" s="249"/>
      <c r="G16" s="249"/>
      <c r="H16" s="249"/>
    </row>
    <row r="17" spans="3:8">
      <c r="C17" s="403" t="s">
        <v>212</v>
      </c>
      <c r="D17" s="249"/>
      <c r="E17" s="249"/>
      <c r="F17" s="406">
        <f>AMOSTRAS!E14</f>
        <v>52.034300000000002</v>
      </c>
      <c r="G17" s="249"/>
      <c r="H17" s="254"/>
    </row>
    <row r="18" spans="3:8">
      <c r="C18" s="403" t="s">
        <v>213</v>
      </c>
      <c r="D18" s="249"/>
      <c r="E18" s="249"/>
      <c r="F18" s="404">
        <f>'PLANILHA HOMOG'!Q17</f>
        <v>13189.81</v>
      </c>
      <c r="G18" s="249"/>
      <c r="H18" s="254"/>
    </row>
    <row r="19" spans="3:8">
      <c r="C19" s="403" t="s">
        <v>214</v>
      </c>
      <c r="D19" s="249"/>
      <c r="E19" s="249"/>
      <c r="F19" s="404">
        <f>F17*F18</f>
        <v>686322.53048299998</v>
      </c>
      <c r="G19" s="249"/>
      <c r="H19" s="254"/>
    </row>
    <row r="20" spans="3:8" ht="15" customHeight="1">
      <c r="C20" s="413" t="s">
        <v>215</v>
      </c>
      <c r="D20" s="251"/>
      <c r="E20" s="251"/>
      <c r="F20" s="412">
        <f>F19</f>
        <v>686322.53048299998</v>
      </c>
      <c r="G20" s="251"/>
      <c r="H20" s="252"/>
    </row>
    <row r="21" spans="3:8">
      <c r="C21" s="407"/>
      <c r="D21" s="249"/>
      <c r="E21" s="249"/>
      <c r="F21" s="410"/>
      <c r="G21" s="249"/>
      <c r="H21" s="249"/>
    </row>
    <row r="22" spans="3:8">
      <c r="C22" s="407"/>
      <c r="D22" s="249"/>
      <c r="E22" s="249"/>
      <c r="F22" s="410"/>
      <c r="G22" s="249"/>
      <c r="H22" s="249"/>
    </row>
    <row r="23" spans="3:8">
      <c r="C23" s="407"/>
      <c r="D23" s="249"/>
      <c r="E23" s="249"/>
      <c r="F23" s="419"/>
      <c r="G23" s="249"/>
      <c r="H23" s="249"/>
    </row>
    <row r="24" spans="3:8">
      <c r="C24" s="417" t="s">
        <v>216</v>
      </c>
      <c r="D24" s="249"/>
      <c r="E24" s="249"/>
      <c r="F24" s="249"/>
      <c r="G24" s="249"/>
      <c r="H24" s="249"/>
    </row>
    <row r="25" spans="3:8">
      <c r="C25" s="408" t="s">
        <v>217</v>
      </c>
      <c r="D25" s="249"/>
      <c r="E25" s="249"/>
      <c r="F25" s="411">
        <v>2000000</v>
      </c>
      <c r="G25" s="249"/>
      <c r="H25" s="254"/>
    </row>
    <row r="26" spans="3:8">
      <c r="C26" s="408" t="s">
        <v>218</v>
      </c>
      <c r="D26" s="249"/>
      <c r="E26" s="249"/>
      <c r="F26" s="405">
        <v>0.8</v>
      </c>
      <c r="G26" s="249"/>
      <c r="H26" s="254"/>
    </row>
    <row r="27" spans="3:8">
      <c r="C27" s="408" t="s">
        <v>219</v>
      </c>
      <c r="D27" s="249"/>
      <c r="E27" s="249"/>
      <c r="F27" s="411">
        <f>F25*F26</f>
        <v>1600000</v>
      </c>
      <c r="G27" s="249"/>
      <c r="H27" s="254"/>
    </row>
    <row r="28" spans="3:8" ht="15" customHeight="1">
      <c r="C28" s="414" t="s">
        <v>215</v>
      </c>
      <c r="D28" s="251"/>
      <c r="E28" s="251"/>
      <c r="F28" s="409">
        <f>F27</f>
        <v>1600000</v>
      </c>
      <c r="G28" s="251"/>
      <c r="H28" s="252"/>
    </row>
    <row r="31" spans="3:8">
      <c r="C31" s="402" t="s">
        <v>220</v>
      </c>
      <c r="D31" s="249"/>
      <c r="E31" s="249"/>
      <c r="F31" s="249"/>
      <c r="G31" s="249"/>
      <c r="H31" s="249"/>
    </row>
    <row r="32" spans="3:8">
      <c r="C32" s="403" t="s">
        <v>221</v>
      </c>
      <c r="D32" s="249"/>
      <c r="E32" s="249"/>
      <c r="F32" s="404">
        <f>F20</f>
        <v>686322.53048299998</v>
      </c>
      <c r="G32" s="249"/>
      <c r="H32" s="254"/>
    </row>
    <row r="33" spans="3:8">
      <c r="C33" s="403" t="s">
        <v>222</v>
      </c>
      <c r="D33" s="249"/>
      <c r="E33" s="249"/>
      <c r="F33" s="404">
        <f>F28</f>
        <v>1600000</v>
      </c>
      <c r="G33" s="249"/>
      <c r="H33" s="254"/>
    </row>
    <row r="34" spans="3:8" ht="15" customHeight="1">
      <c r="C34" s="413" t="s">
        <v>223</v>
      </c>
      <c r="D34" s="251"/>
      <c r="E34" s="251"/>
      <c r="F34" s="412">
        <f>F32+F33</f>
        <v>2286322.530483</v>
      </c>
      <c r="G34" s="251"/>
      <c r="H34" s="252"/>
    </row>
  </sheetData>
  <mergeCells count="53">
    <mergeCell ref="C4:H4"/>
    <mergeCell ref="F12:H12"/>
    <mergeCell ref="F7:H7"/>
    <mergeCell ref="F21:H21"/>
    <mergeCell ref="C25:E25"/>
    <mergeCell ref="C10:E10"/>
    <mergeCell ref="F9:H9"/>
    <mergeCell ref="C7:E7"/>
    <mergeCell ref="C22:E22"/>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C31:H31"/>
    <mergeCell ref="C17:E17"/>
    <mergeCell ref="F32:H32"/>
    <mergeCell ref="F26:H26"/>
    <mergeCell ref="F17:H17"/>
    <mergeCell ref="C21:E21"/>
    <mergeCell ref="C27:E27"/>
    <mergeCell ref="F28:H28"/>
    <mergeCell ref="F22:H22"/>
    <mergeCell ref="F27:H27"/>
    <mergeCell ref="C23:E23"/>
    <mergeCell ref="F20:H20"/>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workbookViewId="0">
      <selection activeCell="F11" sqref="F11:H11"/>
    </sheetView>
  </sheetViews>
  <sheetFormatPr defaultRowHeight="12.75"/>
  <cols>
    <col min="3" max="3" width="15.42578125" bestFit="1" customWidth="1"/>
    <col min="11" max="11" width="19.28515625" customWidth="1"/>
    <col min="13" max="13" width="18.85546875" customWidth="1"/>
  </cols>
  <sheetData>
    <row r="5" spans="3:11">
      <c r="C5" s="418" t="str">
        <f>SANEAMENTO!C4</f>
        <v>MATRÍCULA 11.173</v>
      </c>
      <c r="D5" s="249"/>
      <c r="E5" s="249"/>
      <c r="F5" s="249"/>
      <c r="G5" s="249"/>
      <c r="H5" s="249"/>
    </row>
    <row r="6" spans="3:11">
      <c r="C6" s="418" t="s">
        <v>224</v>
      </c>
      <c r="D6" s="249"/>
      <c r="E6" s="249"/>
      <c r="F6" s="249"/>
      <c r="G6" s="249"/>
      <c r="H6" s="249"/>
    </row>
    <row r="7" spans="3:11">
      <c r="C7" s="403" t="s">
        <v>225</v>
      </c>
      <c r="D7" s="249"/>
      <c r="E7" s="249"/>
      <c r="F7" s="422">
        <v>0.13250000000000001</v>
      </c>
      <c r="G7" s="249"/>
      <c r="H7" s="254"/>
    </row>
    <row r="8" spans="3:11">
      <c r="C8" s="403" t="s">
        <v>226</v>
      </c>
      <c r="D8" s="249"/>
      <c r="E8" s="249"/>
      <c r="F8" s="406">
        <v>36</v>
      </c>
      <c r="G8" s="249"/>
      <c r="H8" s="254"/>
    </row>
    <row r="9" spans="3:11">
      <c r="C9" s="403" t="s">
        <v>227</v>
      </c>
      <c r="D9" s="249"/>
      <c r="E9" s="249"/>
      <c r="F9" s="421">
        <f>1/((1+F7)^(F8/12))</f>
        <v>0.68847055051621997</v>
      </c>
      <c r="G9" s="249"/>
      <c r="H9" s="254"/>
    </row>
    <row r="10" spans="3:11">
      <c r="C10" s="403" t="s">
        <v>228</v>
      </c>
      <c r="D10" s="249"/>
      <c r="E10" s="249"/>
      <c r="F10" s="404">
        <f>SANEAMENTO!F20</f>
        <v>686322.53048299998</v>
      </c>
      <c r="G10" s="249"/>
      <c r="H10" s="254"/>
    </row>
    <row r="11" spans="3:11" ht="15" customHeight="1">
      <c r="C11" s="413" t="s">
        <v>229</v>
      </c>
      <c r="D11" s="251"/>
      <c r="E11" s="251"/>
      <c r="F11" s="412">
        <f>F10/((1+F7)^(F8/12))</f>
        <v>472512.85039331613</v>
      </c>
      <c r="G11" s="251"/>
      <c r="H11" s="252"/>
      <c r="K11" s="188"/>
    </row>
    <row r="12" spans="3:11" ht="15" customHeight="1">
      <c r="K12" s="188"/>
    </row>
    <row r="13" spans="3:11">
      <c r="C13" s="402" t="s">
        <v>224</v>
      </c>
      <c r="D13" s="249"/>
      <c r="E13" s="249"/>
      <c r="F13" s="249"/>
      <c r="G13" s="249"/>
      <c r="H13" s="249"/>
      <c r="K13" s="187"/>
    </row>
    <row r="14" spans="3:11">
      <c r="C14" s="403" t="s">
        <v>225</v>
      </c>
      <c r="D14" s="249"/>
      <c r="E14" s="249"/>
      <c r="F14" s="422">
        <v>0.12767999999999999</v>
      </c>
      <c r="G14" s="249"/>
      <c r="H14" s="254"/>
    </row>
    <row r="15" spans="3:11">
      <c r="C15" s="403" t="s">
        <v>226</v>
      </c>
      <c r="D15" s="249"/>
      <c r="E15" s="249"/>
      <c r="F15" s="406">
        <v>36</v>
      </c>
      <c r="G15" s="249"/>
      <c r="H15" s="254"/>
    </row>
    <row r="16" spans="3:11">
      <c r="C16" s="403" t="s">
        <v>227</v>
      </c>
      <c r="D16" s="249"/>
      <c r="E16" s="249"/>
      <c r="F16" s="421">
        <f>1/((1+F14)^(F15/12))</f>
        <v>0.69733644889224644</v>
      </c>
      <c r="G16" s="249"/>
      <c r="H16" s="254"/>
    </row>
    <row r="17" spans="3:8">
      <c r="C17" s="403" t="s">
        <v>228</v>
      </c>
      <c r="D17" s="249"/>
      <c r="E17" s="249"/>
      <c r="F17" s="404">
        <f>SANEAMENTO!F28</f>
        <v>1600000</v>
      </c>
      <c r="G17" s="249"/>
      <c r="H17" s="254"/>
    </row>
    <row r="18" spans="3:8" ht="15" customHeight="1">
      <c r="C18" s="413" t="s">
        <v>229</v>
      </c>
      <c r="D18" s="251"/>
      <c r="E18" s="251"/>
      <c r="F18" s="412">
        <f>F17/((1+F14)^(F15/12))</f>
        <v>1115738.3182275943</v>
      </c>
      <c r="G18" s="251"/>
      <c r="H18" s="252"/>
    </row>
  </sheetData>
  <mergeCells count="23">
    <mergeCell ref="C6:H6"/>
    <mergeCell ref="F16:H16"/>
    <mergeCell ref="C14:E14"/>
    <mergeCell ref="C5:H5"/>
    <mergeCell ref="F7:H7"/>
    <mergeCell ref="F15:H15"/>
    <mergeCell ref="C10:E10"/>
    <mergeCell ref="C7:E7"/>
    <mergeCell ref="F14:H14"/>
    <mergeCell ref="C13:H13"/>
    <mergeCell ref="C9:E9"/>
    <mergeCell ref="F8:H8"/>
    <mergeCell ref="C8:E8"/>
    <mergeCell ref="F9:H9"/>
    <mergeCell ref="C18:E18"/>
    <mergeCell ref="C15:E15"/>
    <mergeCell ref="F11:H11"/>
    <mergeCell ref="F10:H10"/>
    <mergeCell ref="C16:E16"/>
    <mergeCell ref="F18:H18"/>
    <mergeCell ref="F17:H17"/>
    <mergeCell ref="C11:E11"/>
    <mergeCell ref="C17:E1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39" t="s">
        <v>230</v>
      </c>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231</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232</v>
      </c>
      <c r="X8" s="48"/>
      <c r="Y8" s="48"/>
      <c r="Z8" s="48"/>
      <c r="AA8" s="48"/>
      <c r="AB8" s="48"/>
      <c r="AC8" s="48"/>
      <c r="AD8" s="48"/>
    </row>
    <row r="9" spans="2:31" ht="15" customHeight="1">
      <c r="B9" s="48" t="s">
        <v>233</v>
      </c>
      <c r="C9" s="48"/>
      <c r="D9" s="48"/>
      <c r="E9" s="48"/>
      <c r="F9" s="48"/>
      <c r="G9" s="48"/>
      <c r="H9" s="48" t="s">
        <v>234</v>
      </c>
      <c r="I9" s="48" t="s">
        <v>235</v>
      </c>
      <c r="J9" s="48"/>
      <c r="K9" s="48"/>
      <c r="L9" s="48"/>
      <c r="M9" s="48"/>
      <c r="N9" s="48"/>
      <c r="O9" s="48"/>
      <c r="P9" s="48"/>
      <c r="Q9" s="48"/>
      <c r="R9" s="48"/>
      <c r="S9" s="48"/>
      <c r="T9" s="48"/>
      <c r="U9" s="48"/>
      <c r="V9" s="48"/>
      <c r="W9" s="48" t="s">
        <v>236</v>
      </c>
      <c r="X9" s="48"/>
      <c r="Y9" s="48"/>
      <c r="Z9" s="48"/>
      <c r="AA9" s="48"/>
      <c r="AB9" s="48"/>
      <c r="AC9" s="98"/>
      <c r="AD9" s="98"/>
    </row>
    <row r="10" spans="2:31" ht="15" customHeight="1">
      <c r="B10" s="431">
        <f>AMOSTRAS!E14</f>
        <v>52.034300000000002</v>
      </c>
      <c r="C10" s="427"/>
      <c r="D10" s="427"/>
      <c r="E10" s="427"/>
      <c r="F10" s="427"/>
      <c r="G10" s="427"/>
      <c r="H10" s="48" t="s">
        <v>234</v>
      </c>
      <c r="I10" s="448">
        <f>IF(B10=" ","",W11)</f>
        <v>13189.81</v>
      </c>
      <c r="J10" s="427"/>
      <c r="K10" s="427"/>
      <c r="L10" s="427"/>
      <c r="M10" s="427"/>
      <c r="N10" s="427"/>
      <c r="O10" s="427"/>
      <c r="P10" s="427"/>
      <c r="Q10" s="48" t="s">
        <v>237</v>
      </c>
      <c r="R10" s="426">
        <f>IF(B10=" ","",I10*B10)</f>
        <v>686322.53048299998</v>
      </c>
      <c r="S10" s="427"/>
      <c r="T10" s="427"/>
      <c r="U10" s="427"/>
      <c r="V10" s="48"/>
      <c r="W10" s="48" t="s">
        <v>238</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6">
        <f>'PLANILHA HOMOG'!Q17</f>
        <v>13189.81</v>
      </c>
      <c r="X11" s="427"/>
      <c r="Y11" s="427"/>
      <c r="Z11" s="427"/>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237</v>
      </c>
      <c r="R12" s="446">
        <f>R10</f>
        <v>686322.53048299998</v>
      </c>
      <c r="S12" s="427"/>
      <c r="T12" s="427"/>
      <c r="U12" s="427"/>
      <c r="V12" s="48"/>
      <c r="W12" s="48"/>
      <c r="X12" s="48"/>
      <c r="Y12" s="48"/>
      <c r="Z12" s="48"/>
      <c r="AA12" s="48"/>
      <c r="AB12" s="48"/>
      <c r="AC12" s="98"/>
      <c r="AD12" s="98"/>
    </row>
    <row r="13" spans="2:31">
      <c r="AC13" s="74"/>
      <c r="AD13" s="74"/>
    </row>
    <row r="14" spans="2:31">
      <c r="B14" s="70" t="s">
        <v>239</v>
      </c>
      <c r="V14" s="80"/>
      <c r="W14" s="438"/>
      <c r="X14" s="427"/>
      <c r="Y14" s="427"/>
      <c r="Z14" s="427"/>
      <c r="AA14" s="70"/>
      <c r="AB14" s="70"/>
      <c r="AC14" s="81"/>
      <c r="AD14" s="81"/>
    </row>
    <row r="15" spans="2:31">
      <c r="B15" s="67" t="s">
        <v>240</v>
      </c>
      <c r="H15" s="67" t="s">
        <v>234</v>
      </c>
      <c r="I15" s="67" t="s">
        <v>235</v>
      </c>
      <c r="V15" s="80"/>
      <c r="W15" s="80"/>
      <c r="X15" s="80"/>
      <c r="Y15" s="80"/>
      <c r="AA15" s="82"/>
      <c r="AB15" s="82"/>
      <c r="AC15" s="83"/>
      <c r="AD15" s="83"/>
    </row>
    <row r="16" spans="2:31">
      <c r="B16" s="443" t="s">
        <v>23</v>
      </c>
      <c r="C16" s="427"/>
      <c r="D16" s="427"/>
      <c r="E16" s="427"/>
      <c r="F16" s="427"/>
      <c r="G16" s="427"/>
      <c r="H16" s="67" t="s">
        <v>234</v>
      </c>
      <c r="I16" s="433" t="str">
        <f>IF(B16=" ","",W11)</f>
        <v/>
      </c>
      <c r="J16" s="427"/>
      <c r="K16" s="427"/>
      <c r="L16" s="427"/>
      <c r="M16" s="427"/>
      <c r="N16" s="427"/>
      <c r="O16" s="427"/>
      <c r="P16" s="427"/>
      <c r="Q16" s="67" t="s">
        <v>237</v>
      </c>
      <c r="R16" s="438" t="str">
        <f>IF(B16=" ","",I16*B16)</f>
        <v/>
      </c>
      <c r="S16" s="427"/>
      <c r="T16" s="427"/>
      <c r="U16" s="427"/>
      <c r="V16" s="80"/>
      <c r="AA16" s="82"/>
      <c r="AB16" s="82"/>
      <c r="AC16" s="83"/>
      <c r="AD16" s="83"/>
    </row>
    <row r="17" spans="2:37">
      <c r="R17" s="75"/>
      <c r="S17" s="75"/>
      <c r="U17" s="75"/>
      <c r="V17" s="80"/>
      <c r="W17" s="438"/>
      <c r="X17" s="427"/>
      <c r="Y17" s="427"/>
      <c r="Z17" s="427"/>
      <c r="AA17" s="82"/>
      <c r="AB17" s="82"/>
      <c r="AC17" s="83"/>
      <c r="AD17" s="83"/>
    </row>
    <row r="18" spans="2:37">
      <c r="B18" s="76"/>
      <c r="C18" s="76"/>
      <c r="D18" s="76"/>
      <c r="E18" s="75"/>
      <c r="F18" s="77"/>
      <c r="G18" s="77"/>
      <c r="H18" s="78"/>
      <c r="I18" s="78"/>
      <c r="J18" s="78"/>
      <c r="K18" s="78"/>
      <c r="L18" s="79"/>
      <c r="O18" s="67" t="s">
        <v>20</v>
      </c>
      <c r="Q18" s="67" t="s">
        <v>237</v>
      </c>
      <c r="R18" s="437" t="str">
        <f>R16</f>
        <v/>
      </c>
      <c r="S18" s="427"/>
      <c r="T18" s="427"/>
      <c r="U18" s="427"/>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241</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242</v>
      </c>
      <c r="V22" s="85" t="s">
        <v>243</v>
      </c>
      <c r="W22" s="447">
        <f>R12</f>
        <v>686322.53048299998</v>
      </c>
      <c r="X22" s="430"/>
      <c r="Y22" s="430"/>
      <c r="Z22" s="430"/>
    </row>
    <row r="23" spans="2:37" s="85" customFormat="1" ht="13.5" customHeight="1">
      <c r="B23" s="85" t="s">
        <v>244</v>
      </c>
      <c r="V23" s="85" t="s">
        <v>243</v>
      </c>
      <c r="W23" s="429" t="str">
        <f>R16</f>
        <v/>
      </c>
      <c r="X23" s="430"/>
      <c r="Y23" s="430"/>
      <c r="Z23" s="430"/>
    </row>
    <row r="24" spans="2:37" s="86" customFormat="1" ht="13.5" customHeight="1">
      <c r="B24" s="86" t="s">
        <v>245</v>
      </c>
      <c r="V24" s="86" t="s">
        <v>243</v>
      </c>
      <c r="W24" s="441">
        <f>SUM(W22:W23)</f>
        <v>686322.53048299998</v>
      </c>
      <c r="X24" s="424"/>
      <c r="Y24" s="424"/>
      <c r="Z24" s="424"/>
    </row>
    <row r="25" spans="2:37" s="85" customFormat="1" ht="13.5" customHeight="1">
      <c r="B25" s="85" t="s">
        <v>246</v>
      </c>
      <c r="V25" s="85" t="s">
        <v>243</v>
      </c>
      <c r="W25" s="429">
        <f>'LAUDO DE AVALIAÇÃO 12-12.4'!H9</f>
        <v>0</v>
      </c>
      <c r="X25" s="430"/>
      <c r="Y25" s="430"/>
      <c r="Z25" s="430"/>
    </row>
    <row r="26" spans="2:37" s="85" customFormat="1" ht="13.5" customHeight="1">
      <c r="B26" s="85" t="s">
        <v>247</v>
      </c>
      <c r="V26" s="85" t="s">
        <v>243</v>
      </c>
      <c r="W26" s="429">
        <f>'LAUDO DE AVALIAÇÃO 12-12.4'!H14</f>
        <v>0</v>
      </c>
      <c r="X26" s="430"/>
      <c r="Y26" s="430"/>
      <c r="Z26" s="430"/>
    </row>
    <row r="27" spans="2:37" s="85" customFormat="1" ht="13.5" customHeight="1">
      <c r="B27" s="85" t="s">
        <v>248</v>
      </c>
      <c r="V27" s="85" t="s">
        <v>243</v>
      </c>
      <c r="W27" s="429">
        <f>'LAUDO DE AVALIAÇÃO 12-12.4'!H19</f>
        <v>0</v>
      </c>
      <c r="X27" s="430"/>
      <c r="Y27" s="430"/>
      <c r="Z27" s="430"/>
    </row>
    <row r="28" spans="2:37" s="85" customFormat="1" ht="13.5" customHeight="1">
      <c r="B28" s="85" t="s">
        <v>249</v>
      </c>
      <c r="V28" s="85" t="s">
        <v>243</v>
      </c>
      <c r="W28" s="429">
        <f>'LAUDO DE AVALIAÇÃO 12-12.4'!H24</f>
        <v>0</v>
      </c>
      <c r="X28" s="430"/>
      <c r="Y28" s="430"/>
      <c r="Z28" s="430"/>
    </row>
    <row r="29" spans="2:37" s="85" customFormat="1" ht="13.5" customHeight="1">
      <c r="B29" s="85" t="s">
        <v>250</v>
      </c>
      <c r="V29" s="85" t="s">
        <v>243</v>
      </c>
      <c r="W29" s="429">
        <f>'LAUDO DE AVALIAÇÃO 13'!G8</f>
        <v>0</v>
      </c>
      <c r="X29" s="430"/>
      <c r="Y29" s="430"/>
      <c r="Z29" s="430"/>
    </row>
    <row r="30" spans="2:37" s="86" customFormat="1" ht="13.5" customHeight="1">
      <c r="B30" s="86" t="s">
        <v>251</v>
      </c>
      <c r="V30" s="86" t="s">
        <v>243</v>
      </c>
      <c r="W30" s="442">
        <f>SUM(W25:Z29)</f>
        <v>0</v>
      </c>
      <c r="X30" s="424"/>
      <c r="Y30" s="424"/>
      <c r="Z30" s="424"/>
      <c r="AG30" s="85"/>
    </row>
    <row r="31" spans="2:37" s="86" customFormat="1" ht="13.5" customHeight="1">
      <c r="B31" s="86" t="s">
        <v>252</v>
      </c>
      <c r="V31" s="87" t="s">
        <v>243</v>
      </c>
      <c r="W31" s="445">
        <f>W30+W24</f>
        <v>686322.53048299998</v>
      </c>
      <c r="X31" s="424"/>
      <c r="Y31" s="424"/>
      <c r="Z31" s="424"/>
      <c r="AG31" s="88"/>
    </row>
    <row r="32" spans="2:37" s="85" customFormat="1" ht="11.25" customHeight="1">
      <c r="B32" s="85" t="s">
        <v>253</v>
      </c>
      <c r="K32" s="444">
        <v>43009</v>
      </c>
      <c r="L32" s="430"/>
      <c r="M32" s="430"/>
      <c r="N32" s="430"/>
      <c r="O32" s="430"/>
      <c r="P32" s="430"/>
      <c r="Q32" s="430"/>
      <c r="R32" s="430"/>
      <c r="S32" s="430"/>
      <c r="T32" s="430"/>
      <c r="U32" s="430"/>
      <c r="V32" s="430"/>
      <c r="W32" s="430"/>
      <c r="X32" s="430"/>
      <c r="Y32" s="430"/>
      <c r="Z32" s="430"/>
      <c r="AG32" s="88"/>
    </row>
    <row r="33" spans="2:37" s="86" customFormat="1" ht="17.25" customHeight="1">
      <c r="O33" s="423" t="s">
        <v>254</v>
      </c>
      <c r="P33" s="424"/>
      <c r="Q33" s="424"/>
      <c r="R33" s="424"/>
      <c r="S33" s="424"/>
      <c r="T33" s="424"/>
      <c r="U33" s="424"/>
      <c r="V33" s="424"/>
      <c r="W33" s="428" t="s">
        <v>255</v>
      </c>
      <c r="X33" s="332"/>
      <c r="Y33" s="332"/>
      <c r="Z33" s="332"/>
      <c r="AA33" s="332"/>
      <c r="AB33" s="332"/>
      <c r="AC33" s="332"/>
      <c r="AD33" s="332"/>
      <c r="AG33" s="89"/>
    </row>
    <row r="34" spans="2:37" s="85" customFormat="1" ht="19.5" customHeight="1">
      <c r="O34" s="48"/>
      <c r="P34" s="48"/>
      <c r="Q34" s="435">
        <f>W31*0.9</f>
        <v>617690.27743470005</v>
      </c>
      <c r="R34" s="430"/>
      <c r="S34" s="430"/>
      <c r="T34" s="430"/>
      <c r="U34" s="48"/>
      <c r="V34" s="48"/>
      <c r="W34" s="48"/>
      <c r="X34" s="48"/>
      <c r="Y34" s="435">
        <f>W31*1.1</f>
        <v>754954.78353130003</v>
      </c>
      <c r="Z34" s="430"/>
      <c r="AA34" s="430"/>
      <c r="AB34" s="430"/>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32"/>
      <c r="C38" s="427"/>
    </row>
    <row r="39" spans="2:37" ht="14.25" customHeight="1">
      <c r="B39" s="432"/>
      <c r="C39" s="427"/>
    </row>
    <row r="40" spans="2:37" ht="14.25" customHeight="1">
      <c r="B40" s="432"/>
      <c r="C40" s="427"/>
    </row>
    <row r="41" spans="2:37" ht="14.25" customHeight="1">
      <c r="B41" s="432"/>
      <c r="C41" s="427"/>
    </row>
    <row r="42" spans="2:37" ht="14.25" customHeight="1">
      <c r="B42" s="432"/>
      <c r="C42" s="427"/>
    </row>
    <row r="43" spans="2:37" ht="14.25" customHeight="1">
      <c r="B43" s="432"/>
      <c r="C43" s="427"/>
    </row>
    <row r="44" spans="2:37" ht="14.25" customHeight="1">
      <c r="B44" s="432"/>
      <c r="C44" s="427"/>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36"/>
      <c r="F49" s="427"/>
      <c r="G49" s="427"/>
      <c r="H49" s="427"/>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25"/>
      <c r="I52" s="332"/>
      <c r="J52" s="332"/>
      <c r="K52" s="332"/>
      <c r="L52" s="332"/>
      <c r="M52" s="332"/>
      <c r="N52" s="332"/>
      <c r="O52" s="332"/>
      <c r="P52" s="332"/>
    </row>
    <row r="53" spans="5:16" ht="6.75" customHeight="1"/>
    <row r="54" spans="5:16" ht="12.75" customHeight="1"/>
    <row r="55" spans="5:16" ht="13.5" customHeight="1">
      <c r="H55" s="434"/>
      <c r="I55" s="332"/>
      <c r="J55" s="332"/>
      <c r="K55" s="332"/>
      <c r="L55" s="332"/>
      <c r="M55" s="332"/>
      <c r="N55" s="332"/>
      <c r="O55" s="332"/>
      <c r="P55" s="332"/>
    </row>
    <row r="56" spans="5:16" ht="4.5" customHeight="1"/>
    <row r="57" spans="5:16" ht="14.25" customHeight="1">
      <c r="H57" s="425"/>
      <c r="I57" s="332"/>
      <c r="J57" s="332"/>
      <c r="K57" s="332"/>
      <c r="L57" s="332"/>
      <c r="M57" s="332"/>
      <c r="N57" s="332"/>
      <c r="O57" s="332"/>
      <c r="P57" s="332"/>
    </row>
    <row r="58" spans="5:16" ht="6.75" customHeight="1"/>
  </sheetData>
  <mergeCells count="38">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O33:V33"/>
    <mergeCell ref="H52:P52"/>
    <mergeCell ref="W11:Z11"/>
    <mergeCell ref="W33:AD33"/>
    <mergeCell ref="W29:Z29"/>
    <mergeCell ref="W23:Z23"/>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64" t="s">
        <v>230</v>
      </c>
      <c r="C1" s="465"/>
      <c r="D1" s="465"/>
      <c r="E1" s="465"/>
      <c r="F1" s="465"/>
      <c r="G1" s="465"/>
      <c r="H1" s="466"/>
    </row>
    <row r="2" spans="2:12" ht="17.100000000000001" customHeight="1">
      <c r="B2" s="461"/>
      <c r="C2" s="462"/>
      <c r="D2" s="462"/>
      <c r="E2" s="462"/>
      <c r="F2" s="462"/>
      <c r="G2" s="462"/>
      <c r="H2" s="463"/>
      <c r="K2" s="7"/>
      <c r="L2" s="8"/>
    </row>
    <row r="3" spans="2:12" ht="17.100000000000001" customHeight="1">
      <c r="B3" s="50"/>
      <c r="C3" s="3"/>
      <c r="D3" s="3"/>
      <c r="E3" s="3"/>
      <c r="G3" s="6"/>
      <c r="H3" s="51"/>
    </row>
    <row r="4" spans="2:12">
      <c r="B4" s="52" t="s">
        <v>256</v>
      </c>
      <c r="C4" s="3"/>
      <c r="D4" s="3"/>
      <c r="E4" s="3"/>
      <c r="F4" s="4"/>
      <c r="G4" s="4"/>
      <c r="H4" s="53"/>
    </row>
    <row r="5" spans="2:12">
      <c r="B5" s="54" t="s">
        <v>257</v>
      </c>
      <c r="C5" s="9"/>
      <c r="D5" s="4"/>
      <c r="E5" s="4"/>
      <c r="F5" s="4"/>
      <c r="G5" s="4"/>
      <c r="H5" s="55"/>
    </row>
    <row r="6" spans="2:12" s="10" customFormat="1" ht="12.75" customHeight="1">
      <c r="B6" s="454" t="s">
        <v>258</v>
      </c>
      <c r="C6" s="456" t="s">
        <v>259</v>
      </c>
      <c r="D6" s="452" t="s">
        <v>260</v>
      </c>
      <c r="E6" s="458" t="s">
        <v>261</v>
      </c>
      <c r="F6" s="458" t="s">
        <v>262</v>
      </c>
      <c r="G6" s="449" t="s">
        <v>263</v>
      </c>
      <c r="H6" s="450"/>
    </row>
    <row r="7" spans="2:12" s="10" customFormat="1" ht="22.5" customHeight="1">
      <c r="B7" s="455"/>
      <c r="C7" s="453"/>
      <c r="D7" s="453"/>
      <c r="E7" s="264"/>
      <c r="F7" s="264"/>
      <c r="G7" s="47" t="s">
        <v>264</v>
      </c>
      <c r="H7" s="56" t="s">
        <v>20</v>
      </c>
    </row>
    <row r="8" spans="2:12">
      <c r="B8" s="57"/>
      <c r="C8" s="44"/>
      <c r="D8" s="45"/>
      <c r="E8" s="46"/>
      <c r="F8" s="11"/>
      <c r="G8" s="12"/>
      <c r="H8" s="58">
        <f>TRUNC(F8*G8,2)</f>
        <v>0</v>
      </c>
    </row>
    <row r="9" spans="2:12">
      <c r="B9" s="451" t="s">
        <v>20</v>
      </c>
      <c r="C9" s="251"/>
      <c r="D9" s="251"/>
      <c r="E9" s="251"/>
      <c r="F9" s="251"/>
      <c r="G9" s="252"/>
      <c r="H9" s="59">
        <f>TRUNC(SUM(H8:H8),2)</f>
        <v>0</v>
      </c>
    </row>
    <row r="10" spans="2:12">
      <c r="B10" s="60" t="s">
        <v>265</v>
      </c>
      <c r="C10" s="16"/>
      <c r="D10" s="3"/>
      <c r="E10" s="3"/>
      <c r="F10" s="3"/>
      <c r="G10" s="3"/>
      <c r="H10" s="61"/>
    </row>
    <row r="11" spans="2:12" ht="12.75" customHeight="1">
      <c r="B11" s="454" t="s">
        <v>258</v>
      </c>
      <c r="C11" s="456" t="s">
        <v>259</v>
      </c>
      <c r="D11" s="452" t="s">
        <v>260</v>
      </c>
      <c r="E11" s="457" t="s">
        <v>266</v>
      </c>
      <c r="F11" s="457" t="s">
        <v>262</v>
      </c>
      <c r="G11" s="449" t="s">
        <v>263</v>
      </c>
      <c r="H11" s="450"/>
    </row>
    <row r="12" spans="2:12" ht="22.5" customHeight="1">
      <c r="B12" s="455"/>
      <c r="C12" s="453"/>
      <c r="D12" s="453"/>
      <c r="E12" s="264"/>
      <c r="F12" s="264"/>
      <c r="G12" s="47" t="s">
        <v>264</v>
      </c>
      <c r="H12" s="56" t="s">
        <v>20</v>
      </c>
    </row>
    <row r="13" spans="2:12">
      <c r="B13" s="62"/>
      <c r="C13" s="17"/>
      <c r="D13" s="18"/>
      <c r="E13" s="19"/>
      <c r="F13" s="19"/>
      <c r="G13" s="20"/>
      <c r="H13" s="58">
        <f>TRUNC(F13*G13,2)</f>
        <v>0</v>
      </c>
    </row>
    <row r="14" spans="2:12">
      <c r="B14" s="451" t="s">
        <v>20</v>
      </c>
      <c r="C14" s="251"/>
      <c r="D14" s="251"/>
      <c r="E14" s="251"/>
      <c r="F14" s="251"/>
      <c r="G14" s="252"/>
      <c r="H14" s="63">
        <f>TRUNC(SUM(H13:H13),2)</f>
        <v>0</v>
      </c>
    </row>
    <row r="15" spans="2:12">
      <c r="B15" s="60" t="s">
        <v>267</v>
      </c>
      <c r="C15" s="16"/>
      <c r="D15" s="3"/>
      <c r="E15" s="3"/>
      <c r="F15" s="3"/>
      <c r="G15" s="3"/>
      <c r="H15" s="53"/>
    </row>
    <row r="16" spans="2:12" ht="12.75" customHeight="1">
      <c r="B16" s="454" t="s">
        <v>258</v>
      </c>
      <c r="C16" s="456" t="s">
        <v>268</v>
      </c>
      <c r="D16" s="452" t="s">
        <v>260</v>
      </c>
      <c r="E16" s="457" t="s">
        <v>266</v>
      </c>
      <c r="F16" s="457" t="s">
        <v>262</v>
      </c>
      <c r="G16" s="449" t="s">
        <v>263</v>
      </c>
      <c r="H16" s="450"/>
    </row>
    <row r="17" spans="2:8" ht="21" customHeight="1">
      <c r="B17" s="455"/>
      <c r="C17" s="453"/>
      <c r="D17" s="453"/>
      <c r="E17" s="264"/>
      <c r="F17" s="264"/>
      <c r="G17" s="22" t="s">
        <v>264</v>
      </c>
      <c r="H17" s="56" t="s">
        <v>20</v>
      </c>
    </row>
    <row r="18" spans="2:8" s="10" customFormat="1">
      <c r="B18" s="103" t="s">
        <v>269</v>
      </c>
      <c r="C18" s="13"/>
      <c r="D18" s="21"/>
      <c r="E18" s="104"/>
      <c r="F18" s="15"/>
      <c r="G18" s="14"/>
      <c r="H18" s="58">
        <f>TRUNC(F18*G18,2)</f>
        <v>0</v>
      </c>
    </row>
    <row r="19" spans="2:8">
      <c r="B19" s="451" t="s">
        <v>20</v>
      </c>
      <c r="C19" s="251"/>
      <c r="D19" s="251"/>
      <c r="E19" s="251"/>
      <c r="F19" s="251"/>
      <c r="G19" s="252"/>
      <c r="H19" s="64">
        <f>TRUNC(SUM(H18:H18),2)</f>
        <v>0</v>
      </c>
    </row>
    <row r="20" spans="2:8">
      <c r="B20" s="60" t="s">
        <v>270</v>
      </c>
      <c r="C20" s="16"/>
      <c r="D20" s="3"/>
      <c r="E20" s="3"/>
      <c r="F20" s="3"/>
      <c r="G20" s="3"/>
      <c r="H20" s="53"/>
    </row>
    <row r="21" spans="2:8" ht="12.75" customHeight="1">
      <c r="B21" s="454" t="s">
        <v>258</v>
      </c>
      <c r="C21" s="456" t="s">
        <v>259</v>
      </c>
      <c r="D21" s="452" t="s">
        <v>260</v>
      </c>
      <c r="E21" s="457" t="s">
        <v>266</v>
      </c>
      <c r="F21" s="457" t="s">
        <v>262</v>
      </c>
      <c r="G21" s="449" t="s">
        <v>263</v>
      </c>
      <c r="H21" s="450"/>
    </row>
    <row r="22" spans="2:8" ht="21.75" customHeight="1">
      <c r="B22" s="455"/>
      <c r="C22" s="453"/>
      <c r="D22" s="453"/>
      <c r="E22" s="264"/>
      <c r="F22" s="264"/>
      <c r="G22" s="47" t="s">
        <v>264</v>
      </c>
      <c r="H22" s="56" t="s">
        <v>20</v>
      </c>
    </row>
    <row r="23" spans="2:8">
      <c r="B23" s="65"/>
      <c r="C23" s="23"/>
      <c r="D23" s="24"/>
      <c r="E23" s="25"/>
      <c r="F23" s="25"/>
      <c r="G23" s="26"/>
      <c r="H23" s="58">
        <f>TRUNC(F23*G23,2)</f>
        <v>0</v>
      </c>
    </row>
    <row r="24" spans="2:8" ht="13.5" customHeight="1" thickBot="1">
      <c r="B24" s="459" t="s">
        <v>20</v>
      </c>
      <c r="C24" s="460"/>
      <c r="D24" s="460"/>
      <c r="E24" s="460"/>
      <c r="F24" s="460"/>
      <c r="G24" s="396"/>
      <c r="H24" s="66"/>
    </row>
  </sheetData>
  <mergeCells count="30">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 ref="E6:E7"/>
    <mergeCell ref="G6:H6"/>
    <mergeCell ref="C11:C12"/>
    <mergeCell ref="E11:E12"/>
    <mergeCell ref="B6:B7"/>
    <mergeCell ref="G21:H21"/>
    <mergeCell ref="B14:G14"/>
    <mergeCell ref="G11:H11"/>
    <mergeCell ref="D21:D22"/>
    <mergeCell ref="B11:B12"/>
    <mergeCell ref="D11:D12"/>
    <mergeCell ref="C16:C17"/>
    <mergeCell ref="B19:G19"/>
    <mergeCell ref="F21:F22"/>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9" t="s">
        <v>230</v>
      </c>
      <c r="C1" s="462"/>
      <c r="D1" s="462"/>
      <c r="E1" s="462"/>
      <c r="F1" s="462"/>
      <c r="G1" s="462"/>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70" t="s">
        <v>271</v>
      </c>
      <c r="C4" s="251"/>
      <c r="D4" s="251"/>
      <c r="E4" s="251"/>
      <c r="F4" s="251"/>
      <c r="G4" s="252"/>
      <c r="H4" s="27"/>
    </row>
    <row r="5" spans="2:13">
      <c r="B5" s="471" t="s">
        <v>272</v>
      </c>
      <c r="C5" s="467" t="s">
        <v>273</v>
      </c>
      <c r="D5" s="467" t="s">
        <v>274</v>
      </c>
      <c r="E5" s="467" t="s">
        <v>275</v>
      </c>
      <c r="F5" s="468" t="s">
        <v>276</v>
      </c>
      <c r="G5" s="251"/>
      <c r="I5" s="29"/>
    </row>
    <row r="6" spans="2:13">
      <c r="B6" s="264"/>
      <c r="C6" s="453"/>
      <c r="D6" s="453"/>
      <c r="E6" s="453"/>
      <c r="F6" s="30" t="s">
        <v>264</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7" t="s">
        <v>7</v>
      </c>
      <c r="B1" s="249"/>
      <c r="C1" s="249"/>
      <c r="D1" s="249"/>
      <c r="E1" s="249"/>
      <c r="F1" s="249"/>
      <c r="G1" s="249"/>
      <c r="H1" s="249"/>
      <c r="I1" s="249"/>
      <c r="J1" s="249"/>
      <c r="K1" s="249"/>
      <c r="L1" s="249"/>
      <c r="M1" s="249"/>
      <c r="N1" s="249"/>
      <c r="O1" s="478"/>
      <c r="P1" s="249"/>
      <c r="Q1" s="249"/>
      <c r="R1" s="249"/>
      <c r="S1" s="249"/>
    </row>
    <row r="2" spans="1:19" ht="15" customHeight="1">
      <c r="A2" s="479" t="s">
        <v>1</v>
      </c>
      <c r="B2" s="249"/>
      <c r="C2" s="479" t="s">
        <v>277</v>
      </c>
      <c r="D2" s="249"/>
      <c r="E2" s="249"/>
      <c r="F2" s="249"/>
      <c r="G2" s="249"/>
      <c r="H2" s="249"/>
      <c r="I2" s="249"/>
      <c r="J2" s="475" t="s">
        <v>278</v>
      </c>
      <c r="K2" s="249"/>
      <c r="L2" s="249"/>
      <c r="M2" s="249"/>
      <c r="O2" s="239"/>
    </row>
    <row r="3" spans="1:19" ht="15" customHeight="1">
      <c r="A3" s="476" t="s">
        <v>279</v>
      </c>
      <c r="B3" s="249"/>
      <c r="C3" s="476" t="s">
        <v>277</v>
      </c>
      <c r="D3" s="249"/>
      <c r="E3" s="249"/>
      <c r="F3" s="249"/>
      <c r="G3" s="249"/>
      <c r="H3" s="249"/>
      <c r="I3" s="249"/>
      <c r="J3" s="476" t="s">
        <v>280</v>
      </c>
      <c r="K3" s="249"/>
      <c r="L3" s="249"/>
      <c r="M3" s="249"/>
      <c r="N3" s="249"/>
    </row>
    <row r="4" spans="1:19" ht="15" customHeight="1">
      <c r="A4" s="476" t="s">
        <v>281</v>
      </c>
      <c r="B4" s="249"/>
      <c r="C4" s="476" t="s">
        <v>282</v>
      </c>
      <c r="D4" s="249"/>
      <c r="E4" s="249"/>
      <c r="F4" s="249"/>
      <c r="G4" s="249"/>
      <c r="H4" s="249"/>
      <c r="I4" s="249"/>
      <c r="J4" s="474"/>
      <c r="K4" s="249"/>
      <c r="L4" s="249"/>
      <c r="M4" s="249"/>
      <c r="N4" s="249"/>
    </row>
    <row r="5" spans="1:19" ht="15" customHeight="1">
      <c r="A5" s="476" t="s">
        <v>8</v>
      </c>
      <c r="B5" s="249"/>
      <c r="C5" s="476" t="s">
        <v>283</v>
      </c>
      <c r="D5" s="249"/>
      <c r="E5" s="249"/>
      <c r="F5" s="249"/>
      <c r="G5" s="249"/>
      <c r="H5" s="249"/>
      <c r="I5" s="249"/>
      <c r="J5" s="474"/>
      <c r="K5" s="249"/>
      <c r="L5" s="249"/>
      <c r="M5" s="249"/>
      <c r="N5" s="249"/>
    </row>
    <row r="6" spans="1:19" ht="15" customHeight="1">
      <c r="A6" s="476" t="s">
        <v>9</v>
      </c>
      <c r="B6" s="249"/>
      <c r="C6" s="476" t="s">
        <v>284</v>
      </c>
      <c r="D6" s="249"/>
      <c r="E6" s="249"/>
      <c r="F6" s="249"/>
      <c r="G6" s="249"/>
      <c r="H6" s="249"/>
      <c r="I6" s="249"/>
      <c r="J6" s="476" t="s">
        <v>285</v>
      </c>
      <c r="K6" s="249"/>
      <c r="L6" s="249"/>
      <c r="M6" s="249"/>
      <c r="N6" s="249"/>
    </row>
    <row r="7" spans="1:19" ht="15" customHeight="1">
      <c r="A7" s="473" t="s">
        <v>286</v>
      </c>
      <c r="B7" s="249"/>
      <c r="C7" s="249"/>
      <c r="D7" s="249"/>
      <c r="E7" s="249"/>
      <c r="F7" s="249"/>
      <c r="G7" s="249"/>
      <c r="H7" s="249"/>
      <c r="I7" s="249"/>
      <c r="J7" s="249"/>
      <c r="K7" s="249"/>
      <c r="L7" s="249"/>
      <c r="M7" s="249"/>
      <c r="N7" s="249"/>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3" t="s">
        <v>287</v>
      </c>
      <c r="B31" s="249"/>
      <c r="C31" s="249"/>
      <c r="D31" s="249"/>
      <c r="E31" s="249"/>
      <c r="F31" s="249"/>
      <c r="G31" s="249"/>
      <c r="H31" s="249"/>
      <c r="I31" s="249"/>
      <c r="J31" s="249"/>
      <c r="K31" s="249"/>
      <c r="L31" s="249"/>
      <c r="M31" s="249"/>
      <c r="N31" s="249"/>
    </row>
    <row r="32" spans="1:14" ht="15" customHeight="1">
      <c r="A32" s="472" t="s">
        <v>11</v>
      </c>
      <c r="B32" s="249"/>
      <c r="C32" s="249"/>
      <c r="D32" s="472" t="s">
        <v>12</v>
      </c>
      <c r="E32" s="249"/>
      <c r="F32" s="249"/>
      <c r="G32" s="472" t="s">
        <v>288</v>
      </c>
      <c r="H32" s="249"/>
      <c r="I32" s="249"/>
      <c r="J32" s="472" t="s">
        <v>14</v>
      </c>
      <c r="K32" s="249"/>
      <c r="L32" s="249"/>
      <c r="M32" s="249"/>
    </row>
    <row r="33" spans="1:14" ht="15" customHeight="1">
      <c r="A33" s="472" t="s">
        <v>289</v>
      </c>
      <c r="B33" s="249"/>
      <c r="C33" s="249"/>
      <c r="D33" s="472" t="s">
        <v>290</v>
      </c>
      <c r="E33" s="249"/>
      <c r="F33" s="249"/>
      <c r="G33" s="472" t="s">
        <v>291</v>
      </c>
      <c r="H33" s="249"/>
      <c r="I33" s="249"/>
      <c r="J33" s="472" t="s">
        <v>292</v>
      </c>
      <c r="K33" s="249"/>
      <c r="L33" s="249"/>
      <c r="M33" s="249"/>
    </row>
    <row r="34" spans="1:14" ht="15" customHeight="1">
      <c r="A34" s="473" t="s">
        <v>16</v>
      </c>
      <c r="B34" s="249"/>
      <c r="C34" s="249"/>
      <c r="D34" s="249"/>
      <c r="E34" s="249"/>
      <c r="F34" s="249"/>
      <c r="G34" s="249"/>
      <c r="H34" s="249"/>
      <c r="I34" s="249"/>
      <c r="J34" s="249"/>
      <c r="K34" s="249"/>
      <c r="L34" s="249"/>
      <c r="M34" s="249"/>
      <c r="N34" s="249"/>
    </row>
    <row r="35" spans="1:14" ht="15" customHeight="1">
      <c r="A35" s="472" t="s">
        <v>11</v>
      </c>
      <c r="B35" s="249"/>
      <c r="C35" s="249"/>
      <c r="F35" s="472" t="s">
        <v>293</v>
      </c>
      <c r="G35" s="249"/>
      <c r="H35" s="249"/>
      <c r="K35" s="472" t="s">
        <v>294</v>
      </c>
      <c r="L35" s="249"/>
      <c r="M35" s="249"/>
    </row>
    <row r="36" spans="1:14" ht="15" customHeight="1">
      <c r="A36" s="472" t="s">
        <v>289</v>
      </c>
      <c r="B36" s="249"/>
      <c r="C36" s="249"/>
      <c r="F36" s="472" t="s">
        <v>295</v>
      </c>
      <c r="G36" s="249"/>
      <c r="H36" s="249"/>
      <c r="K36" s="472" t="s">
        <v>296</v>
      </c>
      <c r="L36" s="249"/>
      <c r="M36" s="249"/>
    </row>
  </sheetData>
  <mergeCells count="34">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 ref="J2:M2"/>
    <mergeCell ref="A6:B6"/>
    <mergeCell ref="J33:M33"/>
    <mergeCell ref="G33:I33"/>
    <mergeCell ref="A1:N1"/>
    <mergeCell ref="A33:C33"/>
    <mergeCell ref="C3:I3"/>
    <mergeCell ref="A32:C32"/>
    <mergeCell ref="J6:N6"/>
    <mergeCell ref="J32:M32"/>
    <mergeCell ref="A31:N31"/>
    <mergeCell ref="F36:H36"/>
    <mergeCell ref="A34:N34"/>
    <mergeCell ref="J5:N5"/>
    <mergeCell ref="D32:F32"/>
    <mergeCell ref="F35:H35"/>
    <mergeCell ref="A36:C36"/>
    <mergeCell ref="K36:M36"/>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2025-07-07T13:46:01Z</dcterms:modified>
</cp:coreProperties>
</file>